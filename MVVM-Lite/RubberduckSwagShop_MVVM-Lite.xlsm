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4b41bbb7ab9295/Documents/Rubberduck Swag Shop/"/>
    </mc:Choice>
  </mc:AlternateContent>
  <xr:revisionPtr revIDLastSave="0" documentId="8_{D23E9B32-498C-4430-A410-735286C894C6}" xr6:coauthVersionLast="47" xr6:coauthVersionMax="47" xr10:uidLastSave="{00000000-0000-0000-0000-000000000000}"/>
  <bookViews>
    <workbookView xWindow="-120" yWindow="-120" windowWidth="29040" windowHeight="15720" xr2:uid="{3C1D41E1-808F-4B9E-84B2-4F7578D0B0AA}"/>
  </bookViews>
  <sheets>
    <sheet name="Invoice" sheetId="5" r:id="rId1"/>
    <sheet name="Data" sheetId="7" r:id="rId2"/>
    <sheet name="Pricing" sheetId="6" r:id="rId3"/>
    <sheet name="Purchases" sheetId="2" r:id="rId4"/>
    <sheet name="Allocations" sheetId="1" r:id="rId5"/>
    <sheet name="Inventory" sheetId="3" r:id="rId6"/>
    <sheet name="Sales" sheetId="4" r:id="rId7"/>
    <sheet name="Invoices" sheetId="8" r:id="rId8"/>
  </sheets>
  <functionGroups builtInGroupCount="19"/>
  <definedNames>
    <definedName name="_xlpm.P" hidden="1" xlm="1">#NAME?</definedName>
    <definedName name="_xlpm.PeriodStartDate" hidden="1" xlm="1">#NAME?</definedName>
    <definedName name="CurrentWk">#REF!</definedName>
    <definedName name="ExchangeRate">Allocations!$N$3</definedName>
    <definedName name="HiWOS">#REF!</definedName>
    <definedName name="LoWOS">#REF!</definedName>
    <definedName name="NextInvoiceNumber">Invoices!$V$2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/>
  <c r="V2" i="8"/>
  <c r="C2" i="8"/>
  <c r="D2" i="8"/>
  <c r="F2" i="8"/>
  <c r="I2" i="8"/>
  <c r="J2" i="8"/>
  <c r="K2" i="8"/>
  <c r="L2" i="8"/>
  <c r="N2" i="8"/>
  <c r="D2" i="4"/>
  <c r="E2" i="4"/>
  <c r="W2" i="3" s="1"/>
  <c r="H2" i="4" a="1"/>
  <c r="H2" i="4"/>
  <c r="C3" i="3"/>
  <c r="D3" i="3" s="1"/>
  <c r="H3" i="3"/>
  <c r="R3" i="3"/>
  <c r="S3" i="3"/>
  <c r="T3" i="3"/>
  <c r="U3" i="3"/>
  <c r="V3" i="3"/>
  <c r="W3" i="3"/>
  <c r="X3" i="3"/>
  <c r="Y3" i="3"/>
  <c r="H16" i="1"/>
  <c r="H30" i="5"/>
  <c r="C2" i="3"/>
  <c r="R2" i="3"/>
  <c r="A2" i="2"/>
  <c r="C2" i="2" s="1"/>
  <c r="B4" i="1" s="1"/>
  <c r="M2" i="2"/>
  <c r="N2" i="2"/>
  <c r="P2" i="2"/>
  <c r="Q2" i="2" s="1"/>
  <c r="W2" i="2" s="1"/>
  <c r="V2" i="2"/>
  <c r="AE2" i="2"/>
  <c r="H23" i="5"/>
  <c r="H28" i="5" s="1"/>
  <c r="H31" i="5" s="1"/>
  <c r="O3" i="2"/>
  <c r="I3" i="2"/>
  <c r="H3" i="8"/>
  <c r="T3" i="8"/>
  <c r="C11" i="1"/>
  <c r="J11" i="1" s="1"/>
  <c r="F10" i="1"/>
  <c r="AG15" i="6"/>
  <c r="AF5" i="6"/>
  <c r="AF4" i="6"/>
  <c r="H3" i="2"/>
  <c r="E5" i="6"/>
  <c r="W5" i="6"/>
  <c r="N5" i="6"/>
  <c r="L3" i="2"/>
  <c r="K10" i="1"/>
  <c r="X15" i="6"/>
  <c r="O15" i="6"/>
  <c r="F15" i="6"/>
  <c r="W4" i="6"/>
  <c r="E4" i="6"/>
  <c r="N4" i="6"/>
  <c r="K3" i="2"/>
  <c r="B3" i="3" l="1"/>
  <c r="M2" i="3"/>
  <c r="N2" i="3" s="1"/>
  <c r="F3" i="3"/>
  <c r="L2" i="3"/>
  <c r="L2" i="4" s="1"/>
  <c r="F2" i="3"/>
  <c r="J2" i="3" s="1"/>
  <c r="B2" i="3"/>
  <c r="E16" i="1"/>
  <c r="M3" i="3"/>
  <c r="G3" i="3"/>
  <c r="I3" i="3" s="1"/>
  <c r="Z3" i="3" s="1"/>
  <c r="AA3" i="3" s="1"/>
  <c r="G2" i="3"/>
  <c r="D16" i="1"/>
  <c r="I16" i="1" s="1"/>
  <c r="G2" i="4"/>
  <c r="J2" i="4" s="1"/>
  <c r="V2" i="3"/>
  <c r="U2" i="3"/>
  <c r="T2" i="3"/>
  <c r="S2" i="3"/>
  <c r="Y2" i="3"/>
  <c r="X2" i="3"/>
  <c r="P3" i="3"/>
  <c r="C4" i="1"/>
  <c r="C5" i="1" s="1"/>
  <c r="O2" i="3"/>
  <c r="D2" i="3"/>
  <c r="AD2" i="2"/>
  <c r="AB2" i="2"/>
  <c r="C4" i="3"/>
  <c r="N3" i="2"/>
  <c r="G10" i="1"/>
  <c r="G11" i="1" s="1"/>
  <c r="C7" i="6"/>
  <c r="AD4" i="6"/>
  <c r="C5" i="6"/>
  <c r="C4" i="6"/>
  <c r="AE3" i="2"/>
  <c r="AA3" i="2" s="1"/>
  <c r="I3" i="8"/>
  <c r="K3" i="8"/>
  <c r="J3" i="8"/>
  <c r="F3" i="8"/>
  <c r="R4" i="3"/>
  <c r="G3" i="8"/>
  <c r="F16" i="1" l="1"/>
  <c r="J16" i="1"/>
  <c r="J3" i="3"/>
  <c r="K3" i="3"/>
  <c r="Q3" i="3"/>
  <c r="N3" i="3"/>
  <c r="M2" i="4"/>
  <c r="M2" i="8"/>
  <c r="O2" i="8" s="1"/>
  <c r="L16" i="1"/>
  <c r="D4" i="1"/>
  <c r="E4" i="1"/>
  <c r="H2" i="3"/>
  <c r="H4" i="3"/>
  <c r="M3" i="2"/>
  <c r="P3" i="2"/>
  <c r="C6" i="6"/>
  <c r="D6" i="6"/>
  <c r="B5" i="1"/>
  <c r="D5" i="1" s="1"/>
  <c r="C12" i="6"/>
  <c r="E5" i="1"/>
  <c r="G4" i="3"/>
  <c r="F4" i="3"/>
  <c r="U4" i="6"/>
  <c r="L4" i="6"/>
  <c r="B4" i="3"/>
  <c r="L3" i="8"/>
  <c r="N3" i="8"/>
  <c r="Q2" i="8" l="1"/>
  <c r="P2" i="8"/>
  <c r="K16" i="1"/>
  <c r="G16" i="1"/>
  <c r="G4" i="1"/>
  <c r="F4" i="1"/>
  <c r="I4" i="1" s="1"/>
  <c r="K2" i="3"/>
  <c r="I2" i="3"/>
  <c r="J4" i="3"/>
  <c r="E10" i="1"/>
  <c r="L7" i="6"/>
  <c r="L5" i="6"/>
  <c r="F5" i="1"/>
  <c r="G5" i="1"/>
  <c r="K4" i="3"/>
  <c r="AD7" i="6"/>
  <c r="AD5" i="6"/>
  <c r="Q3" i="2"/>
  <c r="W3" i="2" s="1"/>
  <c r="AB3" i="2" s="1"/>
  <c r="C13" i="6"/>
  <c r="F13" i="6" s="1"/>
  <c r="F12" i="6"/>
  <c r="C11" i="6"/>
  <c r="S4" i="3"/>
  <c r="T4" i="3"/>
  <c r="U4" i="3"/>
  <c r="V4" i="3"/>
  <c r="X4" i="3"/>
  <c r="Y4" i="3"/>
  <c r="W4" i="3"/>
  <c r="Z2" i="3" l="1"/>
  <c r="AA2" i="3" s="1"/>
  <c r="Q2" i="3"/>
  <c r="Q4" i="3" s="1"/>
  <c r="P2" i="3"/>
  <c r="P4" i="3" s="1"/>
  <c r="I4" i="3"/>
  <c r="M4" i="3" s="1"/>
  <c r="H4" i="1"/>
  <c r="H5" i="1" s="1"/>
  <c r="I5" i="1"/>
  <c r="L6" i="6"/>
  <c r="AD6" i="6"/>
  <c r="AD12" i="6" s="1"/>
  <c r="AG12" i="6" s="1"/>
  <c r="F11" i="6"/>
  <c r="C10" i="6"/>
  <c r="L12" i="6"/>
  <c r="M6" i="6"/>
  <c r="E11" i="1"/>
  <c r="I11" i="1" s="1"/>
  <c r="N11" i="1" s="1"/>
  <c r="I10" i="1"/>
  <c r="N10" i="1" s="1"/>
  <c r="D10" i="1"/>
  <c r="AE6" i="6"/>
  <c r="AD3" i="2"/>
  <c r="U7" i="6"/>
  <c r="U5" i="6"/>
  <c r="X2" i="2" a="1"/>
  <c r="Z4" i="3" l="1"/>
  <c r="AA4" i="3" s="1"/>
  <c r="X2" i="2"/>
  <c r="AD11" i="6"/>
  <c r="AG11" i="6" s="1"/>
  <c r="AD13" i="6"/>
  <c r="AG13" i="6" s="1"/>
  <c r="U6" i="6"/>
  <c r="U12" i="6" s="1"/>
  <c r="U11" i="6" s="1"/>
  <c r="H10" i="1"/>
  <c r="L3" i="3" s="1"/>
  <c r="O3" i="3" s="1"/>
  <c r="M10" i="1"/>
  <c r="D11" i="1"/>
  <c r="L10" i="1"/>
  <c r="L11" i="1" s="1"/>
  <c r="O12" i="6"/>
  <c r="L11" i="6"/>
  <c r="L13" i="6"/>
  <c r="O13" i="6" s="1"/>
  <c r="F10" i="6"/>
  <c r="V6" i="6"/>
  <c r="Y2" i="2" a="1"/>
  <c r="L4" i="3" l="1"/>
  <c r="O4" i="3" s="1"/>
  <c r="Y2" i="2"/>
  <c r="AD10" i="6"/>
  <c r="AG10" i="6" s="1"/>
  <c r="X12" i="6"/>
  <c r="U13" i="6"/>
  <c r="X13" i="6" s="1"/>
  <c r="O11" i="6"/>
  <c r="L10" i="6"/>
  <c r="E10" i="6"/>
  <c r="E11" i="6"/>
  <c r="E14" i="6"/>
  <c r="E15" i="6"/>
  <c r="E13" i="6"/>
  <c r="E12" i="6"/>
  <c r="U10" i="6"/>
  <c r="X11" i="6"/>
  <c r="H11" i="1"/>
  <c r="M11" i="1"/>
  <c r="Z2" i="2" l="1"/>
  <c r="Z3" i="2" s="1"/>
  <c r="Y3" i="2" s="1"/>
  <c r="AC3" i="2" s="1"/>
  <c r="AC2" i="2"/>
  <c r="G12" i="6"/>
  <c r="H12" i="6"/>
  <c r="G10" i="6"/>
  <c r="H10" i="6"/>
  <c r="E16" i="6"/>
  <c r="X10" i="6"/>
  <c r="AF14" i="6"/>
  <c r="AF13" i="6"/>
  <c r="AF11" i="6"/>
  <c r="AF15" i="6"/>
  <c r="AF10" i="6"/>
  <c r="AF12" i="6"/>
  <c r="G13" i="6"/>
  <c r="H13" i="6"/>
  <c r="O10" i="6"/>
  <c r="G11" i="6"/>
  <c r="H11" i="6"/>
  <c r="G15" i="6"/>
  <c r="H15" i="6"/>
  <c r="H14" i="6"/>
  <c r="G14" i="6"/>
  <c r="I14" i="6" l="1"/>
  <c r="H18" i="6"/>
  <c r="H19" i="6" s="1"/>
  <c r="I11" i="6"/>
  <c r="I15" i="6"/>
  <c r="I12" i="6"/>
  <c r="AH12" i="6"/>
  <c r="AI12" i="6"/>
  <c r="AI15" i="6"/>
  <c r="AH15" i="6"/>
  <c r="N12" i="6"/>
  <c r="N10" i="6"/>
  <c r="N13" i="6"/>
  <c r="N15" i="6"/>
  <c r="N11" i="6"/>
  <c r="N14" i="6"/>
  <c r="I10" i="6"/>
  <c r="AI11" i="6"/>
  <c r="AH11" i="6"/>
  <c r="AI13" i="6"/>
  <c r="AH13" i="6"/>
  <c r="I13" i="6"/>
  <c r="AH10" i="6"/>
  <c r="AI10" i="6"/>
  <c r="AF16" i="6"/>
  <c r="AH14" i="6"/>
  <c r="AI14" i="6"/>
  <c r="G18" i="6"/>
  <c r="W15" i="6"/>
  <c r="W11" i="6"/>
  <c r="W14" i="6"/>
  <c r="W10" i="6"/>
  <c r="W12" i="6"/>
  <c r="W13" i="6"/>
  <c r="AJ11" i="6" l="1"/>
  <c r="AJ15" i="6"/>
  <c r="AJ13" i="6"/>
  <c r="AI18" i="6"/>
  <c r="AI19" i="6" s="1"/>
  <c r="AH18" i="6"/>
  <c r="Z10" i="6"/>
  <c r="W16" i="6"/>
  <c r="Y10" i="6"/>
  <c r="Z14" i="6"/>
  <c r="Y14" i="6"/>
  <c r="AJ10" i="6"/>
  <c r="AJ12" i="6"/>
  <c r="Z11" i="6"/>
  <c r="Y11" i="6"/>
  <c r="AJ14" i="6"/>
  <c r="P11" i="6"/>
  <c r="Q11" i="6"/>
  <c r="Y12" i="6"/>
  <c r="Z12" i="6"/>
  <c r="P14" i="6"/>
  <c r="Q14" i="6"/>
  <c r="Z15" i="6"/>
  <c r="Y15" i="6"/>
  <c r="P15" i="6"/>
  <c r="Q15" i="6"/>
  <c r="Y13" i="6"/>
  <c r="Z13" i="6"/>
  <c r="M3" i="8"/>
  <c r="Q13" i="6"/>
  <c r="P13" i="6"/>
  <c r="Q12" i="6"/>
  <c r="P12" i="6"/>
  <c r="G19" i="6"/>
  <c r="I18" i="6"/>
  <c r="Q10" i="6"/>
  <c r="P10" i="6"/>
  <c r="N16" i="6"/>
  <c r="AA15" i="6" l="1"/>
  <c r="AA10" i="6"/>
  <c r="R12" i="6"/>
  <c r="AA14" i="6"/>
  <c r="Q18" i="6"/>
  <c r="Q19" i="6" s="1"/>
  <c r="Z18" i="6"/>
  <c r="Z19" i="6" s="1"/>
  <c r="R13" i="6"/>
  <c r="P3" i="8"/>
  <c r="O3" i="8"/>
  <c r="Q3" i="8" s="1"/>
  <c r="AA13" i="6"/>
  <c r="AA12" i="6"/>
  <c r="R11" i="6"/>
  <c r="Y18" i="6"/>
  <c r="P18" i="6"/>
  <c r="R14" i="6"/>
  <c r="R15" i="6"/>
  <c r="R10" i="6"/>
  <c r="AA11" i="6"/>
  <c r="AH19" i="6"/>
  <c r="AJ18" i="6"/>
  <c r="Y19" i="6" l="1"/>
  <c r="AA18" i="6"/>
  <c r="P19" i="6"/>
  <c r="R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tc={B4F16068-9A9A-4CD6-AD46-3160C32C4CF0}</author>
    <author>tc={F4B26D94-580D-45E5-8B64-A7B0661574A8}</author>
  </authors>
  <commentList>
    <comment ref="M1" authorId="0" shapeId="0" xr:uid="{B4F16068-9A9A-4CD6-AD46-3160C32C4CF0}">
      <text>
        <t>[Threaded comment]
Your version of Excel allows you to read this threaded comment; however, any edits to it will get removed if the file is opened in a newer version of Excel. Learn more: https://go.microsoft.com/fwlink/?linkid=870924
Comment:
    *9.975% applies to both GST/QST
The tax amount that should have been charged by the vendor.</t>
      </text>
    </comment>
    <comment ref="N1" authorId="1" shapeId="0" xr:uid="{F4B26D94-580D-45E5-8B64-A7B0661574A8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actually due if total yearly sales surpass $30K.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<sst xmlns="http://schemas.openxmlformats.org/spreadsheetml/2006/main" count="299" uniqueCount="168">
  <si>
    <t>BILL TO</t>
  </si>
  <si>
    <t>SHIP TO</t>
  </si>
  <si>
    <t>Line</t>
  </si>
  <si>
    <t>SKU</t>
  </si>
  <si>
    <t>Description</t>
  </si>
  <si>
    <t>Qty</t>
  </si>
  <si>
    <t>Total</t>
  </si>
  <si>
    <t>Subtotal:</t>
  </si>
  <si>
    <t>Invoice total:</t>
  </si>
  <si>
    <t>Paid:</t>
  </si>
  <si>
    <t>Balance due:</t>
  </si>
  <si>
    <t>Categories</t>
  </si>
  <si>
    <t>Vendors</t>
  </si>
  <si>
    <t>Seasons</t>
  </si>
  <si>
    <t>Code</t>
  </si>
  <si>
    <t>Name</t>
  </si>
  <si>
    <t>Short</t>
  </si>
  <si>
    <t>Sticker</t>
  </si>
  <si>
    <t>CR</t>
  </si>
  <si>
    <t>CORE</t>
  </si>
  <si>
    <t>Core Collection</t>
  </si>
  <si>
    <t>Pen</t>
  </si>
  <si>
    <t>23A</t>
  </si>
  <si>
    <t>S23</t>
  </si>
  <si>
    <t>Spring/Summer 2023</t>
  </si>
  <si>
    <t>Drinkware</t>
  </si>
  <si>
    <t>SM</t>
  </si>
  <si>
    <t>23B</t>
  </si>
  <si>
    <t>F23</t>
  </si>
  <si>
    <t>Hoodie</t>
  </si>
  <si>
    <t>Headwear</t>
  </si>
  <si>
    <t>Avg.Cost:</t>
  </si>
  <si>
    <t>SKU Count:</t>
  </si>
  <si>
    <t>Min:</t>
  </si>
  <si>
    <t>SKU Prefix:</t>
  </si>
  <si>
    <t>Median:</t>
  </si>
  <si>
    <t>Max:</t>
  </si>
  <si>
    <t>Pricing</t>
  </si>
  <si>
    <t>Cost (Min)</t>
  </si>
  <si>
    <t>Target GM%</t>
  </si>
  <si>
    <t>Distribution</t>
  </si>
  <si>
    <t>Min.Retail</t>
  </si>
  <si>
    <t>Avg.Cost</t>
  </si>
  <si>
    <t>Avg.Retail</t>
  </si>
  <si>
    <t>Avg.GM%</t>
  </si>
  <si>
    <t>A+</t>
  </si>
  <si>
    <t>A</t>
  </si>
  <si>
    <t>B</t>
  </si>
  <si>
    <t>C</t>
  </si>
  <si>
    <t>D</t>
  </si>
  <si>
    <t>Z</t>
  </si>
  <si>
    <t>-</t>
  </si>
  <si>
    <t>Prefix</t>
  </si>
  <si>
    <t>Suffix</t>
  </si>
  <si>
    <t>Category</t>
  </si>
  <si>
    <t>Vendor</t>
  </si>
  <si>
    <t>Subtotal</t>
  </si>
  <si>
    <t>TaxPaid</t>
  </si>
  <si>
    <t>TtlTax</t>
  </si>
  <si>
    <t>TaxDue</t>
  </si>
  <si>
    <t>Shipping</t>
  </si>
  <si>
    <t>Cost</t>
  </si>
  <si>
    <t>VendorInvoice</t>
  </si>
  <si>
    <t>DateOrdered</t>
  </si>
  <si>
    <t>ETA</t>
  </si>
  <si>
    <t>DateRcvd</t>
  </si>
  <si>
    <t>DaysToRcvd</t>
  </si>
  <si>
    <t>Unit</t>
  </si>
  <si>
    <t>TargetGM%</t>
  </si>
  <si>
    <t>StdRetail</t>
  </si>
  <si>
    <t>Retail</t>
  </si>
  <si>
    <t>GM%</t>
  </si>
  <si>
    <t>GM$</t>
  </si>
  <si>
    <t>Allocations</t>
  </si>
  <si>
    <t>Allocated</t>
  </si>
  <si>
    <t>%Alloc.</t>
  </si>
  <si>
    <t>Val.Cost</t>
  </si>
  <si>
    <t>Val.Retail</t>
  </si>
  <si>
    <t>Val.GM$</t>
  </si>
  <si>
    <t>Val.GM%</t>
  </si>
  <si>
    <t>CAD to USD</t>
  </si>
  <si>
    <t>Bundles</t>
  </si>
  <si>
    <t>Bundle</t>
  </si>
  <si>
    <t>Ext.Cost</t>
  </si>
  <si>
    <t>Ext.Retail</t>
  </si>
  <si>
    <t>CAD</t>
  </si>
  <si>
    <t>USD</t>
  </si>
  <si>
    <t>Discount%</t>
  </si>
  <si>
    <t>Bundle Contents</t>
  </si>
  <si>
    <t>Bundle SKU</t>
  </si>
  <si>
    <t>Ext.GM$</t>
  </si>
  <si>
    <t>OnHand</t>
  </si>
  <si>
    <t>IsBundle</t>
  </si>
  <si>
    <t>Season</t>
  </si>
  <si>
    <t>OnOrder</t>
  </si>
  <si>
    <t>OTB</t>
  </si>
  <si>
    <t>Price</t>
  </si>
  <si>
    <t>Sold</t>
  </si>
  <si>
    <t>WOS</t>
  </si>
  <si>
    <t>Turns</t>
  </si>
  <si>
    <t>Invoice</t>
  </si>
  <si>
    <t>InvoiceDate</t>
  </si>
  <si>
    <t>PeriodStart</t>
  </si>
  <si>
    <t>Period</t>
  </si>
  <si>
    <t>Item</t>
  </si>
  <si>
    <t>COGS</t>
  </si>
  <si>
    <t>Unallocated</t>
  </si>
  <si>
    <t>Ordered</t>
  </si>
  <si>
    <t>Comment</t>
  </si>
  <si>
    <t>Date</t>
  </si>
  <si>
    <t>FulfillDate</t>
  </si>
  <si>
    <t>Taxes</t>
  </si>
  <si>
    <t>GST/QST*</t>
  </si>
  <si>
    <t>Amount</t>
  </si>
  <si>
    <t>ShipCost</t>
  </si>
  <si>
    <t>Merch.Cost</t>
  </si>
  <si>
    <t>ShipCharge</t>
  </si>
  <si>
    <t>Email</t>
  </si>
  <si>
    <t>Next</t>
  </si>
  <si>
    <t>P6</t>
  </si>
  <si>
    <t>P5</t>
  </si>
  <si>
    <t>P4</t>
  </si>
  <si>
    <t>P3</t>
  </si>
  <si>
    <t>P2</t>
  </si>
  <si>
    <t>P1</t>
  </si>
  <si>
    <t>ShipToCountry</t>
  </si>
  <si>
    <t>Rcvd</t>
  </si>
  <si>
    <t>Retail$</t>
  </si>
  <si>
    <t>TShirt</t>
  </si>
  <si>
    <t>Δ GM%</t>
  </si>
  <si>
    <t>Val.Retail$</t>
  </si>
  <si>
    <t>PP</t>
  </si>
  <si>
    <t>Avlb. to Sell</t>
  </si>
  <si>
    <t>Avlb. to Ship</t>
  </si>
  <si>
    <t>Avg. Cost$</t>
  </si>
  <si>
    <t>Avg. Retail$</t>
  </si>
  <si>
    <t>Units/Bundle</t>
  </si>
  <si>
    <t>CLEAR</t>
  </si>
  <si>
    <t>CL</t>
  </si>
  <si>
    <t>Clearance</t>
  </si>
  <si>
    <t>ShipStart</t>
  </si>
  <si>
    <t>Fall 2023</t>
  </si>
  <si>
    <t>23C</t>
  </si>
  <si>
    <t>H23</t>
  </si>
  <si>
    <t>Holiday 2023</t>
  </si>
  <si>
    <t>S24</t>
  </si>
  <si>
    <t>Spring/Summer 2024</t>
  </si>
  <si>
    <t>24A</t>
  </si>
  <si>
    <t>Weight</t>
  </si>
  <si>
    <t>CP</t>
  </si>
  <si>
    <t>MD1</t>
  </si>
  <si>
    <t>MD2</t>
  </si>
  <si>
    <t>MD3</t>
  </si>
  <si>
    <t>NetTotal</t>
  </si>
  <si>
    <t>Shipment</t>
  </si>
  <si>
    <t>TEST</t>
  </si>
  <si>
    <t>Some sticker</t>
  </si>
  <si>
    <t>10701TEST</t>
  </si>
  <si>
    <t>Shipping:</t>
  </si>
  <si>
    <t>BUNDLE1</t>
  </si>
  <si>
    <t>Test Bundle</t>
  </si>
  <si>
    <t>Cost$</t>
  </si>
  <si>
    <t>INV001</t>
  </si>
  <si>
    <t>rubberduckvba@gmail.com</t>
  </si>
  <si>
    <t>Canada</t>
  </si>
  <si>
    <t>CA1234</t>
  </si>
  <si>
    <t>ACME Stickers</t>
  </si>
  <si>
    <t>Total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</si>
</sst>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&quot;$&quot;#,##0.000"/>
    <numFmt numFmtId="167" formatCode="&quot;$&quot;#,##0.00&quot; USD&quot;"/>
    <numFmt numFmtId="168" formatCode="&quot;$&quot;#,##0.0000"/>
    <numFmt numFmtId="169" formatCode="&quot;Δ: &quot;&quot;$&quot;#,##0.0000"/>
    <numFmt numFmtId="170" formatCode="00000"/>
    <numFmt numFmtId="171" formatCode="_(&quot;$&quot;* #,##0.000_);_(&quot;$&quot;* \(#,##0.000\);_(&quot;$&quot;* &quot;-&quot;??_);_(@_)"/>
    <numFmt numFmtId="172" formatCode="[$$-1009]#,##0.00"/>
    <numFmt numFmtId="177" formatCode="_-[$$-1009]* #,##0.00_-;\-[$$-1009]* #,##0.00_-;_-[$$-1009]* &quot;-&quot;??_-;_-@_-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6"/>
      <name val="Yu Gothic"/>
      <family val="2"/>
      <charset val="128"/>
    </font>
    <font>
      <b/>
      <sz val="12"/>
      <name val="Calibri"/>
      <family val="2"/>
      <scheme val="minor"/>
    </font>
    <font>
      <sz val="11"/>
      <color rgb="FF2F75FF"/>
      <name val="Calibri"/>
      <family val="2"/>
      <scheme val="minor"/>
    </font>
    <font>
      <b/>
      <sz val="11"/>
      <color rgb="FF0000FF"/>
      <name val="Consolas"/>
      <family val="18"/>
    </font>
    <font>
      <sz val="11"/>
      <color rgb="FF0000FF"/>
      <name val="Consolas"/>
      <family val="3"/>
    </font>
    <font>
      <b/>
      <sz val="11"/>
      <color rgb="FF0000FF"/>
      <name val="Consolas"/>
      <family val="3"/>
    </font>
    <font>
      <b/>
      <sz val="11"/>
      <color theme="7" tint="-0.249977111117893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18"/>
    </font>
    <font>
      <b/>
      <sz val="11"/>
      <color theme="1"/>
      <name val="Consolas"/>
      <family val="3"/>
    </font>
    <font>
      <sz val="10"/>
      <color theme="1" tint="0.499984740745262"/>
      <name val="Consolas"/>
      <family val="3"/>
    </font>
    <font>
      <sz val="12"/>
      <color rgb="FFDCE7EB"/>
      <name val="Nunito"/>
    </font>
    <font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onsolas"/>
      <family val="3"/>
    </font>
    <font>
      <b/>
      <sz val="11"/>
      <name val="Consolas"/>
      <family val="3"/>
    </font>
    <font>
      <b/>
      <u/>
      <sz val="11"/>
      <color rgb="FF0000FF"/>
      <name val="Calibri"/>
      <family val="2"/>
      <scheme val="minor"/>
    </font>
    <font>
      <u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theme="4"/>
      </patternFill>
    </fill>
    <fill>
      <patternFill patternType="solid">
        <fgColor theme="7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505050"/>
      </left>
      <right style="thin">
        <color rgb="FF505050"/>
      </right>
      <top style="medium">
        <color rgb="FF505050"/>
      </top>
      <bottom/>
      <diagonal/>
    </border>
    <border>
      <left style="medium">
        <color rgb="FF505050"/>
      </left>
      <right style="thin">
        <color rgb="FF505050"/>
      </right>
      <top/>
      <bottom/>
      <diagonal/>
    </border>
    <border>
      <left style="medium">
        <color rgb="FF505050"/>
      </left>
      <right style="thin">
        <color rgb="FF505050"/>
      </right>
      <top/>
      <bottom style="medium">
        <color rgb="FF505050"/>
      </bottom>
      <diagonal/>
    </border>
    <border>
      <left style="medium">
        <color rgb="FF505050"/>
      </left>
      <right style="medium">
        <color rgb="FF505050"/>
      </right>
      <top style="medium">
        <color rgb="FF505050"/>
      </top>
      <bottom/>
      <diagonal/>
    </border>
    <border>
      <left style="medium">
        <color rgb="FF505050"/>
      </left>
      <right style="medium">
        <color rgb="FF505050"/>
      </right>
      <top/>
      <bottom/>
      <diagonal/>
    </border>
    <border>
      <left style="medium">
        <color rgb="FF505050"/>
      </left>
      <right style="medium">
        <color rgb="FF505050"/>
      </right>
      <top/>
      <bottom style="medium">
        <color rgb="FF505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78">
    <xf numFmtId="0" fontId="0" fillId="0" borderId="0" xfId="0"/>
    <xf numFmtId="164" fontId="0" fillId="0" borderId="0" xfId="0" applyNumberFormat="1"/>
    <xf numFmtId="0" fontId="3" fillId="0" borderId="0" xfId="0" applyFont="1"/>
    <xf numFmtId="165" fontId="0" fillId="0" borderId="0" xfId="1" applyNumberFormat="1" applyFont="1"/>
    <xf numFmtId="1" fontId="0" fillId="0" borderId="0" xfId="0" applyNumberFormat="1"/>
    <xf numFmtId="0" fontId="6" fillId="0" borderId="0" xfId="0" applyFont="1"/>
    <xf numFmtId="164" fontId="6" fillId="0" borderId="0" xfId="0" applyNumberFormat="1" applyFont="1"/>
    <xf numFmtId="0" fontId="7" fillId="0" borderId="0" xfId="0" applyFont="1"/>
    <xf numFmtId="0" fontId="5" fillId="0" borderId="0" xfId="0" applyFont="1"/>
    <xf numFmtId="1" fontId="5" fillId="0" borderId="0" xfId="0" applyNumberFormat="1" applyFont="1"/>
    <xf numFmtId="165" fontId="0" fillId="0" borderId="0" xfId="1" applyNumberFormat="1" applyFont="1" applyAlignment="1">
      <alignment horizontal="center"/>
    </xf>
    <xf numFmtId="164" fontId="5" fillId="0" borderId="0" xfId="0" applyNumberFormat="1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8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166" fontId="8" fillId="0" borderId="0" xfId="0" applyNumberFormat="1" applyFont="1"/>
    <xf numFmtId="164" fontId="8" fillId="0" borderId="0" xfId="0" applyNumberFormat="1" applyFont="1"/>
    <xf numFmtId="165" fontId="7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Alignment="1"/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center"/>
    </xf>
    <xf numFmtId="1" fontId="7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10" fillId="0" borderId="0" xfId="0" applyFont="1"/>
    <xf numFmtId="0" fontId="5" fillId="0" borderId="0" xfId="0" applyFont="1" applyAlignment="1">
      <alignment horizontal="center"/>
    </xf>
    <xf numFmtId="164" fontId="9" fillId="0" borderId="0" xfId="0" applyNumberFormat="1" applyFont="1"/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9" fontId="0" fillId="0" borderId="0" xfId="1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/>
    <xf numFmtId="0" fontId="13" fillId="0" borderId="0" xfId="0" applyFont="1"/>
    <xf numFmtId="165" fontId="0" fillId="0" borderId="0" xfId="1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2" fillId="0" borderId="0" xfId="0" applyFont="1"/>
    <xf numFmtId="0" fontId="14" fillId="0" borderId="0" xfId="0" applyFont="1"/>
    <xf numFmtId="0" fontId="15" fillId="0" borderId="0" xfId="0" applyFont="1" applyAlignment="1">
      <alignment vertical="top"/>
    </xf>
    <xf numFmtId="0" fontId="0" fillId="0" borderId="7" xfId="0" applyBorder="1"/>
    <xf numFmtId="0" fontId="0" fillId="0" borderId="6" xfId="0" applyBorder="1"/>
    <xf numFmtId="0" fontId="2" fillId="0" borderId="8" xfId="0" applyFont="1" applyBorder="1" applyAlignment="1">
      <alignment horizontal="right"/>
    </xf>
    <xf numFmtId="0" fontId="2" fillId="0" borderId="8" xfId="0" applyFont="1" applyBorder="1"/>
    <xf numFmtId="0" fontId="0" fillId="0" borderId="9" xfId="0" applyBorder="1"/>
    <xf numFmtId="3" fontId="0" fillId="0" borderId="0" xfId="0" applyNumberFormat="1"/>
    <xf numFmtId="0" fontId="2" fillId="0" borderId="9" xfId="0" applyFont="1" applyBorder="1" applyAlignment="1">
      <alignment horizontal="right"/>
    </xf>
    <xf numFmtId="44" fontId="0" fillId="0" borderId="0" xfId="0" applyNumberFormat="1"/>
    <xf numFmtId="0" fontId="1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4" fillId="0" borderId="0" xfId="0" applyFont="1" applyAlignment="1">
      <alignment horizontal="right"/>
    </xf>
    <xf numFmtId="167" fontId="15" fillId="0" borderId="0" xfId="0" applyNumberFormat="1" applyFont="1"/>
    <xf numFmtId="0" fontId="15" fillId="0" borderId="0" xfId="0" applyFont="1" applyAlignment="1">
      <alignment horizontal="center"/>
    </xf>
    <xf numFmtId="14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indent="2"/>
    </xf>
    <xf numFmtId="164" fontId="2" fillId="0" borderId="0" xfId="0" applyNumberFormat="1" applyFont="1"/>
    <xf numFmtId="10" fontId="0" fillId="0" borderId="0" xfId="1" applyNumberFormat="1" applyFont="1"/>
    <xf numFmtId="168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0" fillId="0" borderId="12" xfId="0" applyBorder="1"/>
    <xf numFmtId="166" fontId="15" fillId="0" borderId="0" xfId="0" applyNumberFormat="1" applyFont="1" applyAlignment="1">
      <alignment horizontal="center"/>
    </xf>
    <xf numFmtId="166" fontId="15" fillId="2" borderId="5" xfId="0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5" xfId="1" applyNumberFormat="1" applyFont="1" applyFill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8" fillId="0" borderId="0" xfId="0" applyFont="1"/>
    <xf numFmtId="9" fontId="5" fillId="0" borderId="0" xfId="1" applyFont="1" applyAlignment="1">
      <alignment horizontal="center"/>
    </xf>
    <xf numFmtId="9" fontId="5" fillId="2" borderId="5" xfId="1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11" fillId="0" borderId="10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4" fillId="0" borderId="15" xfId="0" applyNumberFormat="1" applyFont="1" applyBorder="1" applyAlignment="1">
      <alignment horizontal="center"/>
    </xf>
    <xf numFmtId="164" fontId="4" fillId="0" borderId="16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0" fillId="0" borderId="5" xfId="1" applyNumberFormat="1" applyFont="1" applyBorder="1" applyAlignment="1">
      <alignment horizontal="center"/>
    </xf>
    <xf numFmtId="165" fontId="0" fillId="2" borderId="5" xfId="1" applyNumberFormat="1" applyFont="1" applyFill="1" applyBorder="1" applyAlignment="1">
      <alignment horizontal="center"/>
    </xf>
    <xf numFmtId="9" fontId="17" fillId="0" borderId="0" xfId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166" fontId="15" fillId="0" borderId="5" xfId="0" applyNumberFormat="1" applyFont="1" applyBorder="1" applyAlignment="1">
      <alignment horizontal="center"/>
    </xf>
    <xf numFmtId="9" fontId="0" fillId="0" borderId="5" xfId="1" applyFont="1" applyBorder="1" applyAlignment="1">
      <alignment horizontal="center"/>
    </xf>
    <xf numFmtId="165" fontId="0" fillId="0" borderId="5" xfId="1" applyNumberFormat="1" applyFon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2" borderId="5" xfId="1" applyNumberFormat="1" applyFont="1" applyFill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64" fontId="0" fillId="0" borderId="5" xfId="1" applyNumberFormat="1" applyFont="1" applyBorder="1" applyAlignment="1">
      <alignment horizontal="center"/>
    </xf>
    <xf numFmtId="171" fontId="0" fillId="0" borderId="0" xfId="0" applyNumberFormat="1"/>
    <xf numFmtId="14" fontId="6" fillId="0" borderId="0" xfId="0" applyNumberFormat="1" applyFont="1"/>
    <xf numFmtId="1" fontId="6" fillId="0" borderId="0" xfId="0" applyNumberFormat="1" applyFont="1"/>
    <xf numFmtId="164" fontId="7" fillId="0" borderId="0" xfId="1" applyNumberFormat="1" applyFont="1"/>
    <xf numFmtId="165" fontId="1" fillId="0" borderId="0" xfId="1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20" fillId="0" borderId="0" xfId="0" applyFont="1"/>
    <xf numFmtId="164" fontId="9" fillId="3" borderId="0" xfId="0" applyNumberFormat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19" fillId="0" borderId="19" xfId="0" applyFont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7" xfId="0" applyFont="1" applyBorder="1"/>
    <xf numFmtId="0" fontId="0" fillId="0" borderId="0" xfId="0" applyAlignment="1">
      <alignment vertical="top"/>
    </xf>
    <xf numFmtId="0" fontId="21" fillId="0" borderId="0" xfId="0" applyFont="1"/>
    <xf numFmtId="172" fontId="0" fillId="0" borderId="0" xfId="0" applyNumberFormat="1"/>
    <xf numFmtId="10" fontId="0" fillId="0" borderId="0" xfId="0" applyNumberFormat="1"/>
    <xf numFmtId="2" fontId="0" fillId="0" borderId="0" xfId="0" applyNumberFormat="1"/>
    <xf numFmtId="0" fontId="22" fillId="0" borderId="0" xfId="0" applyFont="1"/>
    <xf numFmtId="0" fontId="23" fillId="0" borderId="0" xfId="0" applyFont="1"/>
    <xf numFmtId="1" fontId="7" fillId="0" borderId="0" xfId="0" applyNumberFormat="1" applyFont="1"/>
    <xf numFmtId="44" fontId="5" fillId="0" borderId="0" xfId="0" applyNumberFormat="1" applyFont="1"/>
    <xf numFmtId="44" fontId="7" fillId="0" borderId="0" xfId="0" applyNumberFormat="1" applyFont="1"/>
    <xf numFmtId="4" fontId="2" fillId="0" borderId="0" xfId="0" applyNumberFormat="1" applyFont="1" applyAlignment="1">
      <alignment horizontal="center"/>
    </xf>
    <xf numFmtId="0" fontId="24" fillId="5" borderId="21" xfId="0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164" fontId="1" fillId="0" borderId="0" xfId="1" applyNumberFormat="1" applyFont="1" applyAlignment="1"/>
    <xf numFmtId="0" fontId="26" fillId="0" borderId="0" xfId="0" applyFont="1"/>
    <xf numFmtId="44" fontId="0" fillId="0" borderId="18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0" borderId="17" xfId="0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44" fontId="0" fillId="0" borderId="0" xfId="0" applyNumberFormat="1" applyAlignment="1">
      <alignment horizontal="right" vertical="center" wrapText="1"/>
    </xf>
    <xf numFmtId="165" fontId="7" fillId="0" borderId="0" xfId="1" applyNumberFormat="1" applyFont="1" applyAlignment="1">
      <alignment horizontal="center"/>
    </xf>
    <xf numFmtId="0" fontId="27" fillId="0" borderId="0" xfId="0" applyFont="1"/>
    <xf numFmtId="4" fontId="0" fillId="0" borderId="3" xfId="0" applyNumberFormat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0" fontId="0" fillId="0" borderId="6" xfId="0" quotePrefix="1" applyBorder="1"/>
    <xf numFmtId="0" fontId="28" fillId="0" borderId="0" xfId="0" applyFont="1"/>
    <xf numFmtId="0" fontId="28" fillId="2" borderId="0" xfId="0" applyFont="1" applyFill="1"/>
    <xf numFmtId="0" fontId="27" fillId="2" borderId="0" xfId="0" applyFont="1" applyFill="1"/>
    <xf numFmtId="0" fontId="28" fillId="2" borderId="13" xfId="0" applyFont="1" applyFill="1" applyBorder="1"/>
    <xf numFmtId="0" fontId="15" fillId="2" borderId="0" xfId="0" applyFont="1" applyFill="1"/>
    <xf numFmtId="164" fontId="27" fillId="0" borderId="0" xfId="0" applyNumberFormat="1" applyFont="1"/>
    <xf numFmtId="164" fontId="27" fillId="0" borderId="9" xfId="0" applyNumberFormat="1" applyFont="1" applyBorder="1"/>
    <xf numFmtId="164" fontId="29" fillId="0" borderId="1" xfId="0" applyNumberFormat="1" applyFont="1" applyBorder="1"/>
    <xf numFmtId="164" fontId="29" fillId="0" borderId="0" xfId="0" applyNumberFormat="1" applyFont="1"/>
    <xf numFmtId="3" fontId="30" fillId="2" borderId="0" xfId="0" applyNumberFormat="1" applyFont="1" applyFill="1" applyAlignment="1">
      <alignment horizontal="right"/>
    </xf>
    <xf numFmtId="3" fontId="30" fillId="0" borderId="0" xfId="0" applyNumberFormat="1" applyFont="1" applyAlignment="1">
      <alignment horizontal="right"/>
    </xf>
    <xf numFmtId="0" fontId="31" fillId="0" borderId="0" xfId="0" applyFont="1"/>
    <xf numFmtId="177" fontId="0" fillId="0" borderId="0" xfId="0" applyNumberFormat="1"/>
    <xf numFmtId="0" fontId="22" fillId="2" borderId="0" xfId="0" applyFont="1" applyFill="1"/>
    <xf numFmtId="0" fontId="23" fillId="2" borderId="0" xfId="0" applyFont="1" applyFill="1"/>
    <xf numFmtId="0" fontId="0" fillId="2" borderId="0" xfId="0" applyFill="1"/>
    <xf numFmtId="0" fontId="32" fillId="0" borderId="0" xfId="0" applyFont="1"/>
    <xf numFmtId="0" fontId="32" fillId="2" borderId="0" xfId="0" applyFont="1" applyFill="1"/>
    <xf numFmtId="0" fontId="33" fillId="2" borderId="0" xfId="0" applyFont="1" applyFill="1"/>
    <xf numFmtId="0" fontId="0" fillId="0" borderId="0" xfId="0" applyNumberFormat="1" applyAlignment="1">
      <alignment horizontal="center"/>
    </xf>
    <xf numFmtId="44" fontId="8" fillId="0" borderId="0" xfId="0" applyNumberFormat="1" applyFont="1"/>
    <xf numFmtId="0" fontId="0" fillId="0" borderId="0" xfId="0" applyNumberFormat="1"/>
    <xf numFmtId="165" fontId="0" fillId="0" borderId="0" xfId="0" applyNumberFormat="1" applyFont="1"/>
    <xf numFmtId="0" fontId="35" fillId="0" borderId="0" xfId="0" applyFont="1"/>
    <xf numFmtId="3" fontId="36" fillId="0" borderId="0" xfId="0" applyNumberFormat="1" applyFont="1" applyAlignment="1">
      <alignment horizontal="right"/>
    </xf>
    <xf numFmtId="164" fontId="26" fillId="0" borderId="0" xfId="0" applyNumberFormat="1" applyFont="1"/>
    <xf numFmtId="0" fontId="0" fillId="0" borderId="0" xfId="0" applyAlignment="1"/>
    <xf numFmtId="0" fontId="5" fillId="0" borderId="0" xfId="0" applyFont="1" applyAlignment="1"/>
    <xf numFmtId="0" fontId="0" fillId="0" borderId="18" xfId="0" applyNumberFormat="1" applyBorder="1" applyAlignment="1">
      <alignment horizontal="center"/>
    </xf>
    <xf numFmtId="3" fontId="37" fillId="2" borderId="0" xfId="0" applyNumberFormat="1" applyFont="1" applyFill="1" applyAlignment="1">
      <alignment horizontal="right"/>
    </xf>
    <xf numFmtId="164" fontId="26" fillId="2" borderId="0" xfId="0" applyNumberFormat="1" applyFont="1" applyFill="1"/>
    <xf numFmtId="14" fontId="5" fillId="0" borderId="0" xfId="0" applyNumberFormat="1" applyFont="1"/>
    <xf numFmtId="0" fontId="38" fillId="0" borderId="0" xfId="2" applyFont="1"/>
    <xf numFmtId="0" fontId="39" fillId="0" borderId="0" xfId="2" applyFont="1"/>
  </cellXfs>
  <cellStyles count="3">
    <cellStyle name="Hyperlink" xfId="2" builtinId="8"/>
    <cellStyle name="Normal" xfId="0" builtinId="0"/>
    <cellStyle name="Percent" xfId="1" builtinId="5"/>
  </cellStyles>
  <dxfs count="305">
    <dxf>
      <numFmt numFmtId="165" formatCode="0.0%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" formatCode="0"/>
    </dxf>
    <dxf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.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34" formatCode="_(&quot;$&quot;* #,##0.00_);_(&quot;$&quot;* \(#,##0.00\);_(&quot;$&quot;* &quot;-&quot;??_);_(@_)"/>
    </dxf>
    <dxf>
      <numFmt numFmtId="177" formatCode="_-[$$-1009]* #,##0.00_-;\-[$$-1009]* #,##0.00_-;_-[$$-1009]* &quot;-&quot;??_-;_-@_-"/>
    </dxf>
    <dxf>
      <numFmt numFmtId="177" formatCode="_-[$$-1009]* #,##0.00_-;\-[$$-1009]* #,##0.00_-;_-[$$-1009]* &quot;-&quot;??_-;_-@_-"/>
    </dxf>
    <dxf>
      <numFmt numFmtId="177" formatCode="_-[$$-1009]* #,##0.00_-;\-[$$-1009]* #,##0.00_-;_-[$$-1009]* &quot;-&quot;??_-;_-@_-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77" formatCode="_-[$$-1009]* #,##0.00_-;\-[$$-1009]* #,##0.00_-;_-[$$-1009]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/>
        <strike val="0"/>
        <outline val="0"/>
        <shadow val="0"/>
        <u val="none"/>
        <vertAlign val="baseline"/>
        <sz val="11"/>
        <color rgb="FF0000FF"/>
        <name val="Consolas"/>
        <family val="3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FF"/>
        <name val="Consolas"/>
        <scheme val="none"/>
      </font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FF"/>
        <name val="Calibri"/>
        <family val="2"/>
        <scheme val="minor"/>
      </font>
      <numFmt numFmtId="0" formatCode="General"/>
    </dxf>
    <dxf>
      <numFmt numFmtId="165" formatCode="0.0%"/>
    </dxf>
    <dxf>
      <font>
        <b/>
        <strike val="0"/>
        <outline val="0"/>
        <shadow val="0"/>
        <u/>
        <vertAlign val="baseline"/>
        <sz val="11"/>
        <color rgb="FF0000FF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rgb="FF505050"/>
        </left>
        <right style="medium">
          <color rgb="FF505050"/>
        </right>
        <top/>
        <bottom style="medium">
          <color rgb="FF505050"/>
        </bottom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5" formatCode="0.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</dxf>
    <dxf>
      <numFmt numFmtId="171" formatCode="_(&quot;$&quot;* #,##0.000_);_(&quot;$&quot;* \(#,##0.000\);_(&quot;$&quot;* &quot;-&quot;??_);_(@_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rgb="FF505050"/>
        </left>
        <right style="medium">
          <color rgb="FF505050"/>
        </right>
        <top/>
        <bottom style="medium">
          <color rgb="FF505050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numFmt numFmtId="165" formatCode="0.0%"/>
      <alignment horizontal="center" vertical="bottom" textRotation="0" wrapText="0" indent="0" justifyLastLine="0" shrinkToFit="0" readingOrder="0"/>
    </dxf>
    <dxf>
      <numFmt numFmtId="165" formatCode="0.0%"/>
      <alignment horizontal="center" vertical="bottom" textRotation="0" wrapText="0" indent="0" justifyLastLine="0" shrinkToFit="0" readingOrder="0"/>
    </dxf>
    <dxf>
      <numFmt numFmtId="164" formatCode="&quot;$&quot;#,##0.00"/>
    </dxf>
    <dxf>
      <numFmt numFmtId="164" formatCode="&quot;$&quot;#,##0.00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 outline="0">
        <left style="medium">
          <color rgb="FF505050"/>
        </left>
        <right style="thin">
          <color rgb="FF505050"/>
        </right>
        <top/>
        <bottom style="medium">
          <color rgb="FF505050"/>
        </bottom>
      </border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" formatCode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505050"/>
        </left>
        <right style="medium">
          <color rgb="FF505050"/>
        </right>
        <top/>
        <bottom style="medium">
          <color rgb="FF505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$&quot;#,##0.0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rgb="FF0000FF"/>
        <name val="Consolas"/>
        <scheme val="none"/>
      </font>
    </dxf>
    <dxf>
      <numFmt numFmtId="1" formatCode="0"/>
      <alignment horizontal="center"/>
    </dxf>
    <dxf>
      <numFmt numFmtId="4" formatCode="#,##0.00"/>
      <alignment horizontal="center"/>
      <border outline="0">
        <right style="medium">
          <color indexed="64"/>
        </right>
      </border>
    </dxf>
    <dxf>
      <font>
        <b/>
      </font>
      <numFmt numFmtId="4" formatCode="#,##0.00"/>
      <alignment horizontal="center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/>
    </dxf>
    <dxf>
      <numFmt numFmtId="0" formatCode="General"/>
      <alignment horizontal="center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>
        <left style="medium">
          <color rgb="FF505050"/>
        </left>
        <right style="medium">
          <color rgb="FF505050"/>
        </right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5" formatCode="0.0%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71" formatCode="_(&quot;$&quot;* #,##0.000_);_(&quot;$&quot;* \(#,##0.000\);_(&quot;$&quot;* &quot;-&quot;??_);_(@_)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>
        <left style="medium">
          <color rgb="FF505050"/>
        </left>
        <right style="medium">
          <color rgb="FF505050"/>
        </righ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horizontal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alignment vertical="center" textRotation="0" indent="0" justifyLastLine="0" shrinkToFit="0" readingOrder="0"/>
    </dxf>
    <dxf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numFmt numFmtId="164" formatCode="&quot;$&quot;#,##0.00"/>
    </dxf>
    <dxf>
      <numFmt numFmtId="164" formatCode="&quot;$&quot;#,##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Calibri"/>
        <family val="2"/>
        <scheme val="minor"/>
      </font>
      <numFmt numFmtId="164" formatCode="&quot;$&quot;#,##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>
        <left style="medium">
          <color rgb="FF505050"/>
        </left>
        <right style="thin">
          <color rgb="FF505050"/>
        </right>
      </border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&quot;$&quot;#,##0.00"/>
    </dxf>
    <dxf>
      <numFmt numFmtId="164" formatCode="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>
        <left style="medium">
          <color rgb="FF505050"/>
        </left>
        <right style="medium">
          <color rgb="FF505050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Calibri"/>
        <family val="2"/>
        <scheme val="minor"/>
      </font>
      <numFmt numFmtId="164" formatCode="&quot;$&quot;#,##0.00"/>
    </dxf>
    <dxf>
      <font>
        <b/>
        <color rgb="FF0000FF"/>
      </font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" formatCode="0"/>
    </dxf>
    <dxf>
      <numFmt numFmtId="1" formatCode="0"/>
    </dxf>
    <dxf>
      <numFmt numFmtId="165" formatCode="0.0%"/>
      <alignment horizontal="center" vertical="bottom" textRotation="0" wrapText="0" indent="0" justifyLastLine="0" shrinkToFit="0" readingOrder="0"/>
    </dxf>
    <dxf>
      <numFmt numFmtId="165" formatCode="0.0%"/>
      <alignment horizontal="center" vertical="bottom" textRotation="0" wrapText="0" indent="0" justifyLastLine="0" shrinkToFit="0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$&quot;#,##0.00"/>
    </dxf>
    <dxf>
      <numFmt numFmtId="165" formatCode="0.0%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" formatCode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numFmt numFmtId="165" formatCode="0.0%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/>
      </font>
      <numFmt numFmtId="164" formatCode="&quot;$&quot;#,##0.0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$&quot;#,##0.00"/>
    </dxf>
    <dxf>
      <font>
        <b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$&quot;#,##0.00"/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" formatCode="0"/>
      <alignment horizontal="general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numFmt numFmtId="166" formatCode="&quot;$&quot;#,##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&quot;$&quot;#,##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thieu Guindon" id="{C7BDF051-40C0-4C81-BAE2-FEA7BE50B5D7}" userId="e64b41bbb7ab929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67A202-A556-A246-95FC-44C1A18A8643}" name="Categories" displayName="Categories" ref="A3:B9" totalsRowShown="0">
  <autoFilter ref="A3:B9" xr:uid="{7767A202-A556-A246-95FC-44C1A18A8643}">
    <filterColumn colId="0" hiddenButton="1"/>
    <filterColumn colId="1" hiddenButton="1"/>
  </autoFilter>
  <tableColumns count="2">
    <tableColumn id="1" xr3:uid="{35FDFBAD-2DB9-C443-8DD0-7AB8D5FA0F7C}" name="Code"/>
    <tableColumn id="2" xr3:uid="{2D366664-E236-8D43-ADE5-ACF61C3EC35F}" name="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F0F7C47-8135-0E4A-BC7A-702C71E81D99}" name="Vendors" displayName="Vendors" ref="D3:F4" totalsRowShown="0">
  <autoFilter ref="D3:F4" xr:uid="{5F0F7C47-8135-0E4A-BC7A-702C71E81D99}">
    <filterColumn colId="0" hiddenButton="1"/>
    <filterColumn colId="1" hiddenButton="1"/>
    <filterColumn colId="2" hiddenButton="1"/>
  </autoFilter>
  <tableColumns count="3">
    <tableColumn id="1" xr3:uid="{A6E740FF-BC35-B448-AB25-BBDAFCB17EEC}" name="Code"/>
    <tableColumn id="3" xr3:uid="{6086889A-96D2-6C48-9A29-9FDB69C3CBFE}" name="Short"/>
    <tableColumn id="2" xr3:uid="{EDC5F8D3-7D3E-5549-B610-8E773AFE9219}" name="Name" dataDxfId="30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8DC6E2-3DB3-7944-A975-B72C84801586}" name="Seasons" displayName="Seasons" ref="H3:K9" totalsRowShown="0">
  <autoFilter ref="H3:K9" xr:uid="{CB8DC6E2-3DB3-7944-A975-B72C84801586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H4:J7">
    <sortCondition descending="1" ref="H7"/>
  </sortState>
  <tableColumns count="4">
    <tableColumn id="1" xr3:uid="{1FBB6380-AD94-7B4C-A5C2-7CE675168F7E}" name="Code"/>
    <tableColumn id="2" xr3:uid="{5E1B160A-4643-9441-864F-B38396C0F2E8}" name="Short"/>
    <tableColumn id="3" xr3:uid="{66EB73EB-349C-8B4A-AA03-5A55E80FB250}" name="Name"/>
    <tableColumn id="4" xr3:uid="{E33EECC7-BA41-0140-8E6C-7FC92491B00B}" name="ShipStar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E1BB582-A754-42F1-BA39-655CFD8FEC5C}" name="Pricing_Sticker" displayName="Pricing_Sticker" ref="B9:I16" totalsRowCount="1" headerRowDxfId="303" headerRowBorderDxfId="302" tableBorderDxfId="301">
  <tableColumns count="8">
    <tableColumn id="1" xr3:uid="{4686DAB8-1CB4-4EA8-8113-1D2A6980BDD3}" name="Pricing" totalsRowLabel="Total" dataDxfId="300" totalsRowDxfId="299"/>
    <tableColumn id="2" xr3:uid="{66108B44-FB81-4FD7-8489-211041997166}" name="Cost (Min)" dataDxfId="298" totalsRowDxfId="297"/>
    <tableColumn id="3" xr3:uid="{FF0DB854-DDD0-4423-8920-D61387A93F79}" name="Target GM%" dataDxfId="296" totalsRowDxfId="295" dataCellStyle="Percent"/>
    <tableColumn id="5" xr3:uid="{5D4FD822-7743-41D3-8CF9-8A097AC79C04}" name="Distribution" totalsRowFunction="sum" dataDxfId="294" totalsRowDxfId="293" dataCellStyle="Percent">
      <calculatedColumnFormula>SUMIFS(Purchases[Rcvd],Purchases[Category],B$2,Purchases[PP],Pricing_Sticker[[#This Row],[Pricing]])</calculatedColumnFormula>
    </tableColumn>
    <tableColumn id="6" xr3:uid="{8B3C8B19-A042-4156-87E5-868AB192DF29}" name="Min.Retail" dataDxfId="292" dataCellStyle="Percent">
      <calculatedColumnFormula>IFERROR(Pricing_Sticker[[#This Row],[Cost (Min)]]/(1-Pricing_Sticker[[#This Row],[Target GM%]]),"-")</calculatedColumnFormula>
    </tableColumn>
    <tableColumn id="8" xr3:uid="{BF1DB007-139C-6646-A55C-52C3E8C9EDC2}" name="Avg.Cost" dataDxfId="291">
      <calculatedColumnFormula>IF(Pricing_Sticker[[#This Row],[Distribution]]=0,"-",SUMIFS(Purchases[Cost],Purchases[Category],B$2,Purchases[PP],Pricing_Sticker[[#This Row],[Pricing]])/Pricing_Sticker[[#This Row],[Distribution]])</calculatedColumnFormula>
    </tableColumn>
    <tableColumn id="4" xr3:uid="{B3E68F94-DDEC-6A4E-9265-670A9515FB74}" name="Avg.Retail" dataDxfId="290" totalsRowDxfId="289" dataCellStyle="Percent">
      <calculatedColumnFormula>IF(Pricing_Sticker[[#This Row],[Distribution]]=0,"-",SUMIFS(Purchases[Val.Retail$],Purchases[Category],B$2,Purchases[PP],Pricing_Sticker[[#This Row],[Pricing]])/Pricing_Sticker[[#This Row],[Distribution]])</calculatedColumnFormula>
    </tableColumn>
    <tableColumn id="9" xr3:uid="{367EF4E5-5FEB-B844-AEFE-9D2F1C06F501}" name="Avg.GM%" dataDxfId="288" totalsRowDxfId="287" dataCellStyle="Percent">
      <calculatedColumnFormula>IFERROR(1-Pricing_Sticker[[#This Row],[Avg.Cost]]/Pricing_Sticker[[#This Row],[Avg.Retail]],"-")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85CE44-23A2-4B40-AE2F-3F7B8B20860B}" name="Pricing_Pen" displayName="Pricing_Pen" ref="K9:R16" totalsRowCount="1" headerRowDxfId="286" headerRowBorderDxfId="285" tableBorderDxfId="284">
  <tableColumns count="8">
    <tableColumn id="1" xr3:uid="{37E1025D-1692-4A95-BE37-8B46E20293C4}" name="Pricing" totalsRowLabel="Total" dataDxfId="283" totalsRowDxfId="282"/>
    <tableColumn id="2" xr3:uid="{9F5F3B1B-F0FE-4C5D-B8A8-6E1985C4055A}" name="Cost (Min)" dataDxfId="281" totalsRowDxfId="280"/>
    <tableColumn id="3" xr3:uid="{95D1B2D4-FC29-4CB5-8B52-DF12F9DB357E}" name="Target GM%" dataDxfId="279" totalsRowDxfId="278" dataCellStyle="Percent"/>
    <tableColumn id="5" xr3:uid="{3BFAA35C-F43C-4A15-BB72-24CA62AA73B8}" name="Distribution" totalsRowFunction="sum" dataDxfId="277" totalsRowDxfId="276" dataCellStyle="Percent">
      <calculatedColumnFormula>SUMIFS(Purchases[Rcvd],Purchases[Category],K$2,Purchases[PP],Pricing_Pen[[#This Row],[Pricing]])</calculatedColumnFormula>
    </tableColumn>
    <tableColumn id="6" xr3:uid="{237092B6-8FBB-47C9-99EA-9A157EEC9310}" name="Min.Retail" dataDxfId="275" totalsRowDxfId="274">
      <calculatedColumnFormula>IFERROR(Pricing_Pen[[#This Row],[Cost (Min)]]/(1-Pricing_Pen[[#This Row],[Target GM%]]),"-")</calculatedColumnFormula>
    </tableColumn>
    <tableColumn id="4" xr3:uid="{592A9476-CEDD-0544-ABAC-5E10F0E98738}" name="Avg.Cost" dataDxfId="273">
      <calculatedColumnFormula>IF(Pricing_Pen[[#This Row],[Distribution]]=0,"-",SUMIFS(Purchases[Cost],Purchases[Category],K$2,Purchases[PP],Pricing_Pen[[#This Row],[Pricing]])/Pricing_Pen[[#This Row],[Distribution]])</calculatedColumnFormula>
    </tableColumn>
    <tableColumn id="7" xr3:uid="{4C8F56EC-5046-E94F-AB66-3E7623240923}" name="Avg.Retail" dataDxfId="272" dataCellStyle="Percent">
      <calculatedColumnFormula>IF(Pricing_Pen[[#This Row],[Distribution]]=0,"-",SUMIFS(Purchases[Val.Retail$],Purchases[Category],K$2,Purchases[PP],Pricing_Pen[[#This Row],[Pricing]])/Pricing_Pen[[#This Row],[Distribution]])</calculatedColumnFormula>
    </tableColumn>
    <tableColumn id="8" xr3:uid="{11CE4781-F70D-0E4B-AC8A-7EAAC89A2836}" name="Avg.GM%" dataDxfId="271" dataCellStyle="Percent">
      <calculatedColumnFormula>IFERROR(1-Pricing_Pen[[#This Row],[Avg.Cost]]/Pricing_Pen[[#This Row],[Avg.Retail]],"-")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77EA1DB-CEA4-4637-8817-863E7A6B2CC5}" name="Pricing_Drinkware" displayName="Pricing_Drinkware" ref="T9:AA16" totalsRowCount="1" headerRowDxfId="270" headerRowBorderDxfId="269" tableBorderDxfId="268">
  <tableColumns count="8">
    <tableColumn id="1" xr3:uid="{859980D8-DB0A-41E2-99F4-09552908E985}" name="Pricing" totalsRowLabel="Total" dataDxfId="267" totalsRowDxfId="266"/>
    <tableColumn id="2" xr3:uid="{79488A96-C26F-49BE-A600-B0D694B54F72}" name="Cost (Min)" dataDxfId="265" totalsRowDxfId="264"/>
    <tableColumn id="3" xr3:uid="{154BB0B2-1894-4DDA-A3DC-163D6776F211}" name="Target GM%" dataDxfId="263" totalsRowDxfId="262" dataCellStyle="Percent"/>
    <tableColumn id="5" xr3:uid="{52807DF6-F559-44D9-8D27-1ED56CB196D8}" name="Distribution" totalsRowFunction="sum" dataDxfId="261" totalsRowDxfId="260" dataCellStyle="Percent">
      <calculatedColumnFormula>SUMIFS(Purchases[Rcvd],Purchases[Category],T$2,Purchases[PP],Pricing_Drinkware[[#This Row],[Pricing]])</calculatedColumnFormula>
    </tableColumn>
    <tableColumn id="6" xr3:uid="{74CCB203-542B-4042-A2AE-EFB4672AA4FB}" name="Min.Retail" dataDxfId="259">
      <calculatedColumnFormula>IFERROR(Pricing_Drinkware[[#This Row],[Cost (Min)]]/(1-Pricing_Drinkware[[#This Row],[Target GM%]]),"-")</calculatedColumnFormula>
    </tableColumn>
    <tableColumn id="4" xr3:uid="{8333A182-05C8-724B-9B72-FC665B7513F6}" name="Avg.Cost" dataDxfId="258">
      <calculatedColumnFormula>IF(Pricing_Drinkware[[#This Row],[Distribution]]=0,"-",SUMIFS(Purchases[Cost],Purchases[Category],T$2,Purchases[PP],Pricing_Drinkware[[#This Row],[Pricing]])/Pricing_Drinkware[[#This Row],[Distribution]])</calculatedColumnFormula>
    </tableColumn>
    <tableColumn id="7" xr3:uid="{FC18FE4B-7323-0B4F-BBB2-32DC078266E8}" name="Avg.Retail" dataDxfId="257" dataCellStyle="Percent">
      <calculatedColumnFormula>IF(Pricing_Drinkware[[#This Row],[Distribution]]=0,"-",SUMIFS(Purchases[Val.Retail$],Purchases[Category],T$2,Purchases[PP],Pricing_Drinkware[[#This Row],[Pricing]])/Pricing_Drinkware[[#This Row],[Distribution]])</calculatedColumnFormula>
    </tableColumn>
    <tableColumn id="8" xr3:uid="{A913A1C7-EBD5-0349-AEA9-8FDD99F2506C}" name="Avg.GM%" dataDxfId="256" dataCellStyle="Percent">
      <calculatedColumnFormula>IFERROR(1-Pricing_Drinkware[[#This Row],[Avg.Cost]]/Pricing_Drinkware[[#This Row],[Avg.Retail]],"-")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F204D7F-4AF5-6D41-90A2-BF58695B4B65}" name="Pricing_TShirt" displayName="Pricing_TShirt" ref="AC9:AJ16" totalsRowCount="1" headerRowDxfId="255" headerRowBorderDxfId="254" tableBorderDxfId="253">
  <tableColumns count="8">
    <tableColumn id="1" xr3:uid="{32A265B6-0090-2F40-B228-63845CD3F6D6}" name="Pricing" totalsRowLabel="Total" dataDxfId="252" totalsRowDxfId="251"/>
    <tableColumn id="2" xr3:uid="{F1F341D8-A5FC-5B47-8E75-3E83C2CB585A}" name="Cost (Min)" dataDxfId="250" totalsRowDxfId="249"/>
    <tableColumn id="3" xr3:uid="{E5D019A5-C4F2-9A44-945B-A6E3009592C9}" name="Target GM%" dataDxfId="248" totalsRowDxfId="247" dataCellStyle="Percent"/>
    <tableColumn id="5" xr3:uid="{2CF0F42F-4A87-B042-A4D8-782949FAAE6F}" name="Distribution" totalsRowFunction="sum" dataDxfId="246" totalsRowDxfId="245" dataCellStyle="Percent">
      <calculatedColumnFormula>SUMIFS(Purchases[Rcvd],Purchases[Category],AC$2,Purchases[PP],Pricing_TShirt[[#This Row],[Pricing]])</calculatedColumnFormula>
    </tableColumn>
    <tableColumn id="6" xr3:uid="{3185185C-8EF3-7840-942A-28FC0A8D1799}" name="Min.Retail" dataDxfId="244">
      <calculatedColumnFormula>IFERROR(Pricing_TShirt[[#This Row],[Cost (Min)]]/(1-Pricing_TShirt[[#This Row],[Target GM%]]),"-")</calculatedColumnFormula>
    </tableColumn>
    <tableColumn id="4" xr3:uid="{72ADB8BF-85F9-634B-AC44-D6E5E6B69D9E}" name="Avg.Cost" dataDxfId="243">
      <calculatedColumnFormula>IF(Pricing_TShirt[[#This Row],[Distribution]]=0,"-",SUMIFS(Purchases[Cost],Purchases[Category],AC$2,Purchases[PP],Pricing_TShirt[[#This Row],[Pricing]])/Pricing_TShirt[[#This Row],[Distribution]])</calculatedColumnFormula>
    </tableColumn>
    <tableColumn id="7" xr3:uid="{E88359D4-6981-C644-9C7C-058B128540A1}" name="Avg.Retail" dataDxfId="242" dataCellStyle="Percent">
      <calculatedColumnFormula>IF(Pricing_TShirt[[#This Row],[Distribution]]=0,"-",SUMIFS(Purchases[Val.Retail$],Purchases[Category],AC$2,Purchases[PP],Pricing_TShirt[[#This Row],[Pricing]])/Pricing_TShirt[[#This Row],[Distribution]])</calculatedColumnFormula>
    </tableColumn>
    <tableColumn id="8" xr3:uid="{36EE31F0-2327-E741-B54D-8C74CAF7B22F}" name="Avg.GM%" dataDxfId="241" dataCellStyle="Percent">
      <calculatedColumnFormula>IFERROR(1-Pricing_TShirt[[#This Row],[Avg.Cost]]/Pricing_TShirt[[#This Row],[Avg.Retail]],"-")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FBAB6F-F4BF-4C57-A9F6-379563E558C7}" name="Purchases" displayName="Purchases" ref="A1:AE3" totalsRowCount="1" totalsRowDxfId="240">
  <sortState xmlns:xlrd2="http://schemas.microsoft.com/office/spreadsheetml/2017/richdata2" ref="B2:AE2">
    <sortCondition ref="S2"/>
    <sortCondition ref="R2"/>
    <sortCondition ref="B2"/>
  </sortState>
  <tableColumns count="31">
    <tableColumn id="4" xr3:uid="{75CBF31E-596E-5342-8DD9-CA1943EFD330}" name="Prefix" totalsRowLabel="Total" dataDxfId="239">
      <calculatedColumnFormula>_xlfn.XLOOKUP(Purchases[[#This Row],[Category]],Categories[Name],Categories[Code])&amp; _xlfn.XLOOKUP(Purchases[[#This Row],[Vendor]],Vendors[Name],Vendors[Code])</calculatedColumnFormula>
    </tableColumn>
    <tableColumn id="1" xr3:uid="{45A65017-0B88-4F71-A3AD-50D37B05541B}" name="Suffix" dataDxfId="238" totalsRowDxfId="35"/>
    <tableColumn id="20" xr3:uid="{F5E727E0-EDCF-AC49-8A8B-6A2913E6BB9F}" name="SKU" dataDxfId="237" totalsRowDxfId="34">
      <calculatedColumnFormula>Purchases[[#This Row],[Prefix]]&amp;Purchases[[#This Row],[Suffix]]</calculatedColumnFormula>
    </tableColumn>
    <tableColumn id="2" xr3:uid="{BFE87A28-2D1C-48E4-A3E6-9A1273B350ED}" name="Description" dataDxfId="236" totalsRowDxfId="33"/>
    <tableColumn id="27" xr3:uid="{53AA53A7-C619-4E28-A48C-7BB4E8EBD62D}" name="Weight" dataDxfId="235" totalsRowDxfId="32"/>
    <tableColumn id="32" xr3:uid="{E24EE930-2B7C-4E13-B46D-D241120CEC4D}" name="Category" dataDxfId="234" totalsRowDxfId="31"/>
    <tableColumn id="3" xr3:uid="{ADE8FC54-0E7F-453D-8CB9-6689946A8CC8}" name="Vendor" dataDxfId="233" totalsRowDxfId="30"/>
    <tableColumn id="22" xr3:uid="{648DB52F-F597-184B-B2AF-F57377DF0B74}" name="Ordered" totalsRowFunction="sum" dataDxfId="232" totalsRowDxfId="29"/>
    <tableColumn id="6" xr3:uid="{10892D03-27C8-43BA-B722-C193D723513D}" name="Rcvd" totalsRowFunction="sum" dataDxfId="231" totalsRowDxfId="28">
      <calculatedColumnFormula>Purchases[[#This Row],[Ordered]]</calculatedColumnFormula>
    </tableColumn>
    <tableColumn id="25" xr3:uid="{7BCBFCB5-6E9A-8D4E-A1D8-AD3CDED3647E}" name="Comment" dataDxfId="230" totalsRowDxfId="27"/>
    <tableColumn id="7" xr3:uid="{A2B9923B-A5F5-4690-8CA3-527687182779}" name="Subtotal" totalsRowFunction="sum" dataDxfId="229" totalsRowDxfId="26"/>
    <tableColumn id="8" xr3:uid="{3B4E3A17-99FA-4C22-A7E6-A90EFE5E807D}" name="TaxPaid" totalsRowFunction="sum" dataDxfId="228" totalsRowDxfId="25"/>
    <tableColumn id="24" xr3:uid="{B763D48F-3597-42C8-9F35-9D69FAC6E2CA}" name="TtlTax" totalsRowFunction="sum" dataDxfId="227" totalsRowDxfId="24" dataCellStyle="Percent">
      <calculatedColumnFormula>Purchases[[#This Row],[TaxPaid]]</calculatedColumnFormula>
    </tableColumn>
    <tableColumn id="33" xr3:uid="{64209B4C-AEB9-42E5-9416-BC908FC34EF9}" name="TaxDue" totalsRowFunction="sum" dataDxfId="226" totalsRowDxfId="23" dataCellStyle="Percent">
      <calculatedColumnFormula>2*0.09975*Purchases[[#This Row],[Subtotal]]-Purchases[[#This Row],[TaxPaid]]</calculatedColumnFormula>
    </tableColumn>
    <tableColumn id="21" xr3:uid="{111DEECD-626E-4FA1-B22F-C2AFA250CEC7}" name="Shipping" totalsRowFunction="sum" dataDxfId="225" totalsRowDxfId="22"/>
    <tableColumn id="23" xr3:uid="{593938AD-F726-4582-81DB-60FC65DFD639}" name="Total" totalsRowFunction="sum" dataDxfId="224" totalsRowDxfId="21">
      <calculatedColumnFormula>Purchases[[#This Row],[Subtotal]]+Purchases[[#This Row],[TtlTax]]+Purchases[[#This Row],[Shipping]]</calculatedColumnFormula>
    </tableColumn>
    <tableColumn id="9" xr3:uid="{FAC8E582-4FD3-40EB-A149-D6635CD01585}" name="Cost" totalsRowFunction="sum" dataDxfId="223" totalsRowDxfId="20">
      <calculatedColumnFormula>Purchases[[#This Row],[Total]]</calculatedColumnFormula>
    </tableColumn>
    <tableColumn id="17" xr3:uid="{443EC90A-1772-49E9-BAAD-BB103B5BAF86}" name="VendorInvoice" dataDxfId="222" totalsRowDxfId="19"/>
    <tableColumn id="14" xr3:uid="{D7AC3ABD-9DD8-4C0C-8A6A-76C2E3F899F9}" name="DateOrdered" dataDxfId="221" totalsRowDxfId="18"/>
    <tableColumn id="18" xr3:uid="{AC1F2ED7-9774-4A2E-BC0B-341B11C447C4}" name="ETA" dataDxfId="220" totalsRowDxfId="17"/>
    <tableColumn id="15" xr3:uid="{D05472B6-F204-4373-B5F5-C652AA7B1F2A}" name="DateRcvd" dataDxfId="219" totalsRowDxfId="16"/>
    <tableColumn id="19" xr3:uid="{6E242355-49AB-4DB9-A725-C987DAD8B581}" name="DaysToRcvd" dataDxfId="218" totalsRowDxfId="15">
      <calculatedColumnFormula>IF(ISBLANK(Purchases[[#This Row],[DateRcvd]]),"",Purchases[[#This Row],[DateRcvd]]-Purchases[[#This Row],[DateOrdered]])</calculatedColumnFormula>
    </tableColumn>
    <tableColumn id="10" xr3:uid="{5D54C4CD-1245-4BCF-8E9E-A0C540F0D2CF}" name="Unit" totalsRowFunction="custom" dataDxfId="217" totalsRowDxfId="14">
      <calculatedColumnFormula>Purchases[[#This Row],[Cost]]/Purchases[[#This Row],[Ordered]]</calculatedColumnFormula>
      <totalsRowFormula>IFERROR(Purchases[[#Totals],[Cost]]/Purchases[[#Totals],[Rcvd]],"-")</totalsRowFormula>
    </tableColumn>
    <tableColumn id="29" xr3:uid="{B324A64B-7A0B-4094-94C5-D4B4F76FAAAB}" name="PP" dataDxfId="216" totalsRowDxfId="13">
      <calculatedColumnFormula array="1">_xlfn.XLOOKUP(Purchases[[#This Row],[Unit]],INDIRECT("Pricing_"&amp;Purchases[[#This Row],[Category]]&amp;"[Cost (Min)]"),Pricing_Sticker[Pricing],,-1)</calculatedColumnFormula>
    </tableColumn>
    <tableColumn id="30" xr3:uid="{4CA7168B-7394-4328-B2F2-65B30E14A490}" name="TargetGM%" totalsRowFunction="custom" dataDxfId="215" totalsRowDxfId="12" dataCellStyle="Percent">
      <calculatedColumnFormula array="1">_xlfn.XLOOKUP(Purchases[[#This Row],[PP]],INDIRECT("Pricing_"&amp;Purchases[[#This Row],[Category]]&amp;"[Pricing]"),INDIRECT("Pricing_"&amp;Purchases[[#This Row],[Category]]&amp;"[Target GM%]"))</calculatedColumnFormula>
      <totalsRowFormula>IFERROR(1-(Purchases[[#Totals],[Cost]]/Purchases[[#Totals],[Rcvd]])/Purchases[[#Totals],[StdRetail]],"-")</totalsRowFormula>
    </tableColumn>
    <tableColumn id="31" xr3:uid="{EE30146B-6819-4DE1-BE0E-AD4DEFC72728}" name="StdRetail" totalsRowFunction="custom" dataDxfId="214" totalsRowDxfId="11" dataCellStyle="Percent">
      <calculatedColumnFormula>Purchases[[#This Row],[Unit]]/(1-Purchases[[#This Row],[TargetGM%]])</calculatedColumnFormula>
      <totalsRowFormula>IFERROR(SUMPRODUCT(Purchases[StdRetail],Purchases[Rcvd])/Purchases[[#Totals],[Rcvd]],"-")</totalsRowFormula>
    </tableColumn>
    <tableColumn id="11" xr3:uid="{11F38892-7E28-448B-AE4E-C6EBD6E420C2}" name="Retail" totalsRowFunction="custom" dataDxfId="213" totalsRowDxfId="10">
      <totalsRowFormula>IFERROR(Purchases[[#Totals],[Val.Retail$]]/Purchases[[#Totals],[Rcvd]],"-")</totalsRowFormula>
    </tableColumn>
    <tableColumn id="12" xr3:uid="{CBBFFE77-3A2D-4AE0-A8B5-377B2B4245D5}" name="GM%" totalsRowFunction="custom" dataDxfId="212" totalsRowDxfId="9" dataCellStyle="Percent">
      <calculatedColumnFormula>1-Purchases[[#This Row],[Unit]]/Purchases[[#This Row],[Retail]]</calculatedColumnFormula>
      <totalsRowFormula>IFERROR(1-Purchases[[#Totals],[Unit]]/Purchases[[#Totals],[Retail]],"-")</totalsRowFormula>
    </tableColumn>
    <tableColumn id="26" xr3:uid="{47D40BDC-9429-4034-9A63-1E5650EEBC42}" name="Δ GM%" totalsRowFunction="custom" dataDxfId="211" totalsRowDxfId="8" dataCellStyle="Percent">
      <calculatedColumnFormula>Purchases[[#This Row],[GM%]]-Purchases[[#This Row],[TargetGM%]]</calculatedColumnFormula>
      <totalsRowFormula>IFERROR(Purchases[[#Totals],[GM%]]-Purchases[[#Totals],[TargetGM%]],"-")</totalsRowFormula>
    </tableColumn>
    <tableColumn id="16" xr3:uid="{25CEADEE-9F34-4B2C-8F25-3720622B401F}" name="GM$" totalsRowFunction="sum" dataDxfId="210" totalsRowDxfId="7" dataCellStyle="Percent">
      <calculatedColumnFormula>(Purchases[[#This Row],[Retail]]-Purchases[[#This Row],[Unit]])*Purchases[[#This Row],[Rcvd]]</calculatedColumnFormula>
    </tableColumn>
    <tableColumn id="13" xr3:uid="{2FF8EE68-EE7B-4C88-859B-55CF0973FF11}" name="Val.Retail$" totalsRowFunction="sum" dataDxfId="209" totalsRowDxfId="6">
      <calculatedColumnFormula>Purchases[[#This Row],[Retail]]*Purchases[[#This Row],[Rcvd]]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83E13-E621-45BC-804B-852D0CC5C3ED}" name="Allocations" displayName="Allocations" ref="A3:I5" totalsRowCount="1" headerRowDxfId="208">
  <autoFilter ref="A3:I4" xr:uid="{94883E13-E621-45BC-804B-852D0CC5C3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4:I4">
    <sortCondition ref="A3:A4"/>
  </sortState>
  <tableColumns count="9">
    <tableColumn id="20" xr3:uid="{F4BAE51D-8E2E-417C-AD6A-7AB8E32862C4}" name="SKU" dataDxfId="207"/>
    <tableColumn id="13" xr3:uid="{38AEFE58-6EFA-467B-8331-CE4F12E6A2B2}" name="Total Qty" totalsRowFunction="sum" dataDxfId="206">
      <calculatedColumnFormula>SUMIFS(Purchases[Rcvd],Purchases[SKU],Allocations[[#This Row],[SKU]])</calculatedColumnFormula>
    </tableColumn>
    <tableColumn id="14" xr3:uid="{CF31F43A-26DC-40F1-A051-80927F73E0DF}" name="Allocated" totalsRowFunction="sum" dataDxfId="205">
      <calculatedColumnFormula>SUMIFS(BundleContents[Allocated],BundleContents[SKU],Allocations[[#This Row],[SKU]])</calculatedColumnFormula>
    </tableColumn>
    <tableColumn id="21" xr3:uid="{5BC7F44C-C59C-4A7D-AF38-D3D44D9B4D7A}" name="%Alloc." totalsRowFunction="custom" dataDxfId="204" totalsRowDxfId="5" dataCellStyle="Percent">
      <calculatedColumnFormula>IFERROR(Allocations[[#This Row],[Allocated]]/Allocations[[#This Row],[Total Qty]],"-")</calculatedColumnFormula>
      <totalsRowFormula>IFERROR(Allocations[[#Totals],[Allocated]]/Allocations[[#Totals],[Total Qty]],"-")</totalsRowFormula>
    </tableColumn>
    <tableColumn id="15" xr3:uid="{0E694B19-EBA2-4578-92B7-7E087807FBE3}" name="Unallocated" totalsRowFunction="sum" dataDxfId="203" totalsRowDxfId="4">
      <calculatedColumnFormula>SUMIFS(Purchases[Rcvd],Purchases[SKU],Allocations[[#This Row],[SKU]])-Allocations[[#This Row],[Allocated]]</calculatedColumnFormula>
    </tableColumn>
    <tableColumn id="16" xr3:uid="{7B34BA90-2B9E-4C03-A781-933B43CC2C1F}" name="Val.Cost" totalsRowFunction="sum" dataDxfId="202" totalsRowDxfId="3">
      <calculatedColumnFormula>Allocations[[#This Row],[Unallocated]]*SUMIFS(Purchases[Cost],Purchases[SKU],Allocations[[#This Row],[SKU]])/SUMIFS(Purchases[Rcvd],Purchases[SKU],Allocations[[#This Row],[SKU]])</calculatedColumnFormula>
    </tableColumn>
    <tableColumn id="17" xr3:uid="{FF0854C8-F7E7-4017-97F3-7AD94ACE11F0}" name="Val.Retail" totalsRowFunction="sum" dataDxfId="201" totalsRowDxfId="2">
      <calculatedColumnFormula>Allocations[[#This Row],[Unallocated]]*SUMIFS(Purchases[Val.Retail$],Purchases[SKU],Allocations[[#This Row],[SKU]])/SUMIFS(Purchases[Rcvd],Purchases[SKU],Allocations[[#This Row],[SKU]])</calculatedColumnFormula>
    </tableColumn>
    <tableColumn id="1" xr3:uid="{D1828FA4-26DA-43E3-B08A-30D9A2CBC929}" name="Val.GM$" totalsRowFunction="custom" dataDxfId="200" totalsRowDxfId="1">
      <calculatedColumnFormula>Allocations[[#This Row],[Val.Retail]]-Allocations[[#This Row],[Val.Cost]]</calculatedColumnFormula>
      <totalsRowFormula>SUBTOTAL(109,H4:H4)</totalsRowFormula>
    </tableColumn>
    <tableColumn id="18" xr3:uid="{02CDE105-206F-4F04-A3A4-8EBF18785A9D}" name="Val.GM%" totalsRowFunction="custom" dataDxfId="199" totalsRowDxfId="0" dataCellStyle="Percent">
      <calculatedColumnFormula>IFERROR(1-Allocations[[#This Row],[Val.Cost]]/Allocations[[#This Row],[Val.Retail]],0)</calculatedColumnFormula>
      <totalsRowFormula>IFERROR(1-Allocations[[#Totals],[Val.Cost]]/Allocations[[#Totals],[Val.Retail]],"-")</totalsRow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B85C67-125C-455D-A091-6A8222DBDDAD}" name="BundleContents" displayName="BundleContents" ref="A15:O16">
  <sortState xmlns:xlrd2="http://schemas.microsoft.com/office/spreadsheetml/2017/richdata2" ref="A16:L16">
    <sortCondition ref="A15:A16"/>
  </sortState>
  <tableColumns count="15">
    <tableColumn id="10" xr3:uid="{D0501D09-C27C-4FF2-B052-30B5B27182E0}" name="Bundle SKU" dataDxfId="198"/>
    <tableColumn id="1" xr3:uid="{9FFEBFF3-1D03-4FB1-BF95-818A44C93CFE}" name="SKU" totalsRowLabel="Total" dataDxfId="197"/>
    <tableColumn id="2" xr3:uid="{B037A076-2ACD-4CB5-B04D-0E88DE42A4FD}" name="Qty" dataDxfId="196" totalsRowDxfId="195"/>
    <tableColumn id="3" xr3:uid="{03A38E47-2CFE-4835-83F1-D4CE1E45B2F7}" name="Cost" totalsRowFunction="sum" dataDxfId="194" totalsRowDxfId="193">
      <calculatedColumnFormula>SUMIFS(Purchases[Cost],Purchases[SKU],BundleContents[[#This Row],[SKU]])/SUMIFS(Purchases[Rcvd],Purchases[SKU],BundleContents[[#This Row],[SKU]])</calculatedColumnFormula>
    </tableColumn>
    <tableColumn id="4" xr3:uid="{775BBD69-4744-4035-B38A-1F1DB3398791}" name="Retail" totalsRowFunction="sum" dataDxfId="192" totalsRowDxfId="191">
      <calculatedColumnFormula>_xlfn.XLOOKUP(BundleContents[[#This Row],[SKU]],Purchases[SKU],Purchases[Retail])</calculatedColumnFormula>
    </tableColumn>
    <tableColumn id="5" xr3:uid="{C46D5B9B-0CF2-4518-9F6D-1B169DA77705}" name="GM$" totalsRowFunction="sum" dataDxfId="190" totalsRowDxfId="189">
      <calculatedColumnFormula>BundleContents[[#This Row],[Retail]]-BundleContents[[#This Row],[Cost]]</calculatedColumnFormula>
    </tableColumn>
    <tableColumn id="6" xr3:uid="{EEE8B6BA-7213-4B5E-95C1-70DC00E44D96}" name="GM%" totalsRowFunction="custom" dataDxfId="188" totalsRowDxfId="187" dataCellStyle="Percent">
      <calculatedColumnFormula>IFERROR(BundleContents[[#This Row],[GM$]]/BundleContents[[#This Row],[Retail]],"-")</calculatedColumnFormula>
      <totalsRowFormula>BundleContents[[#Totals],[GM$]]/BundleContents[[#Totals],[Retail]]</totalsRowFormula>
    </tableColumn>
    <tableColumn id="7" xr3:uid="{B6F45A47-E325-47F5-B535-FDE5E54586F4}" name="Allocated" totalsRowFunction="sum" dataDxfId="186" totalsRowDxfId="185">
      <calculatedColumnFormula>BundleContents[[#This Row],[Qty]]*_xlfn.XLOOKUP(BundleContents[[#This Row],[Bundle SKU]],Bundles[SKU],Bundles[Qty])</calculatedColumnFormula>
    </tableColumn>
    <tableColumn id="9" xr3:uid="{9430EBC8-BC10-458B-AAC8-C4B265CB49AD}" name="Ext.Cost" totalsRowFunction="sum" dataDxfId="184">
      <calculatedColumnFormula>BundleContents[[#This Row],[Qty]]*BundleContents[[#This Row],[Cost]]</calculatedColumnFormula>
    </tableColumn>
    <tableColumn id="11" xr3:uid="{19725094-2B45-48DC-9AA7-D8A563D2D79F}" name="Ext.Retail" totalsRowFunction="sum" dataDxfId="183">
      <calculatedColumnFormula>BundleContents[[#This Row],[Qty]]*BundleContents[[#This Row],[Retail]]</calculatedColumnFormula>
    </tableColumn>
    <tableColumn id="12" xr3:uid="{D61EEA80-8235-4ADB-B068-C6047148372C}" name="Ext.GM$" totalsRowFunction="sum" dataDxfId="182" totalsRowDxfId="181">
      <calculatedColumnFormula>BundleContents[[#This Row],[Qty]]*BundleContents[[#This Row],[GM$]]</calculatedColumnFormula>
    </tableColumn>
    <tableColumn id="8" xr3:uid="{1FF9BB4B-AB54-4DA9-A618-96D8DC1B61F9}" name="OnHand" dataDxfId="180">
      <calculatedColumnFormula>AND(BundleContents[[#This Row],[Allocated]]&gt;0,_xlfn.XLOOKUP(BundleContents[[#This Row],[SKU]],Inventory[SKU],Inventory[OnHand])&gt;=BundleContents[[#This Row],[Allocated]])</calculatedColumnFormula>
    </tableColumn>
    <tableColumn id="13" xr3:uid="{DE3B8F14-1361-2F46-83F4-20CF2A5B6417}" name="MD1" dataDxfId="179"/>
    <tableColumn id="14" xr3:uid="{91B6EAE8-26FE-EF48-A943-081075E8D21C}" name="MD2" dataDxfId="178"/>
    <tableColumn id="15" xr3:uid="{5392F291-6AEB-6240-9EBC-B5689F3E95E5}" name="MD3" dataDxfId="177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37A083-6555-4A2A-BADE-8476429699C4}" name="Bundles" displayName="Bundles" ref="A9:N11" totalsRowCount="1">
  <sortState xmlns:xlrd2="http://schemas.microsoft.com/office/spreadsheetml/2017/richdata2" ref="A10:N11">
    <sortCondition ref="A9:A11"/>
  </sortState>
  <tableColumns count="14">
    <tableColumn id="2" xr3:uid="{BCBF43FB-47F3-4B1E-9147-5D3CF8B7DC5D}" name="SKU" dataDxfId="176"/>
    <tableColumn id="1" xr3:uid="{BBF6B23B-FA7A-4241-8752-39C0220D0E88}" name="Bundle" totalsRowLabel="Total" dataDxfId="175" totalsRowDxfId="121"/>
    <tableColumn id="3" xr3:uid="{85C803DE-C813-46C0-AF7E-E8E481C3934F}" name="Qty" totalsRowFunction="sum" dataDxfId="174" totalsRowDxfId="120"/>
    <tableColumn id="4" xr3:uid="{5F8A5E82-C105-4DC7-84FD-B31A77B485A0}" name="Ext.Cost" totalsRowFunction="sum" dataDxfId="173" totalsRowDxfId="119">
      <calculatedColumnFormula>Bundles[[#This Row],[Qty]]*SUMIFS(BundleContents[Ext.Cost],BundleContents[Bundle SKU],Bundles[[#This Row],[SKU]])</calculatedColumnFormula>
    </tableColumn>
    <tableColumn id="5" xr3:uid="{82DF4F40-12F3-4F33-A404-4CF33832D579}" name="Ext.Retail" totalsRowFunction="sum" dataDxfId="172" totalsRowDxfId="118">
      <calculatedColumnFormula>Bundles[[#This Row],[Qty]]*SUMIFS(BundleContents[Ext.Retail],BundleContents[Bundle SKU],Bundles[[#This Row],[SKU]])</calculatedColumnFormula>
    </tableColumn>
    <tableColumn id="6" xr3:uid="{570664AF-02E3-49AB-8E2C-E68E59F8D420}" name="Units/Bundle" dataDxfId="171" totalsRowDxfId="117">
      <calculatedColumnFormula>SUMIFS(BundleContents[Qty],BundleContents[Bundle SKU],Bundles[[#This Row],[SKU]])</calculatedColumnFormula>
    </tableColumn>
    <tableColumn id="8" xr3:uid="{81C4DE71-E7BA-440C-A229-AEA553510628}" name="Allocated" totalsRowFunction="sum" dataDxfId="170" totalsRowDxfId="116">
      <calculatedColumnFormula>SUMIFS(BundleContents[[#Data],[Allocated]],BundleContents[Bundle SKU],Bundles[[#This Row],[SKU]])</calculatedColumnFormula>
    </tableColumn>
    <tableColumn id="15" xr3:uid="{0A990021-5CDA-43BE-91B4-5FCD4AF1663C}" name="Cost" totalsRowFunction="custom" dataDxfId="169" totalsRowDxfId="115">
      <calculatedColumnFormula>IFERROR(Bundles[[#This Row],[Ext.Cost]]/Bundles[[#This Row],[Qty]],"-")</calculatedColumnFormula>
      <totalsRowFormula>Bundles[[#Totals],[Ext.Cost]]/Bundles[[#Totals],[Qty]]</totalsRowFormula>
    </tableColumn>
    <tableColumn id="9" xr3:uid="{E65D7521-D602-49FC-8249-79A8C0FB12F5}" name="Retail" totalsRowFunction="custom" dataDxfId="168" totalsRowDxfId="114">
      <calculatedColumnFormula>IFERROR(Bundles[[#This Row],[Ext.Retail]]/Bundles[[#This Row],[Qty]],"-")</calculatedColumnFormula>
      <totalsRowFormula>Bundles[[#Totals],[Ext.Retail]]/Bundles[[#Totals],[Qty]]</totalsRowFormula>
    </tableColumn>
    <tableColumn id="10" xr3:uid="{E9C3ABC0-640F-482D-A619-2C3E5BA60FFA}" name="CAD" totalsRowFunction="custom" dataDxfId="167" totalsRowDxfId="113">
      <totalsRowFormula>SUMPRODUCT(Bundles[Qty],Bundles[CAD])/Bundles[[#Totals],[Qty]]</totalsRowFormula>
    </tableColumn>
    <tableColumn id="11" xr3:uid="{18394CA7-2157-401A-BA28-EDE121B3D8A4}" name="USD" dataDxfId="166" totalsRowDxfId="112">
      <calculatedColumnFormula>Bundles[[#This Row],[CAD]]*ExchangeRate</calculatedColumnFormula>
    </tableColumn>
    <tableColumn id="12" xr3:uid="{124900DA-0CDF-4B83-AF3C-474871EBA60E}" name="GM$" totalsRowFunction="sum" dataDxfId="165" totalsRowDxfId="111">
      <calculatedColumnFormula>Bundles[[#This Row],[Qty]]*Bundles[[#This Row],[CAD]]-Bundles[[#This Row],[Ext.Cost]]</calculatedColumnFormula>
    </tableColumn>
    <tableColumn id="13" xr3:uid="{CC561B91-D345-41F7-A5D0-5BA496D59347}" name="GM%" totalsRowFunction="custom" dataDxfId="164" totalsRowDxfId="110" dataCellStyle="Percent">
      <calculatedColumnFormula>IFERROR(1-Bundles[[#This Row],[Ext.Cost]]/(Bundles[[#This Row],[Qty]]*Bundles[[#This Row],[CAD]]),"-")</calculatedColumnFormula>
      <totalsRowFormula>IFERROR(1-D11/(C11*J11),"-")</totalsRowFormula>
    </tableColumn>
    <tableColumn id="14" xr3:uid="{84448B68-57DD-46DF-9AD1-6149501DE947}" name="Discount%" totalsRowFunction="custom" dataDxfId="163" totalsRowDxfId="109" dataCellStyle="Percent">
      <calculatedColumnFormula>IFERROR(Bundles[[#This Row],[CAD]]/Bundles[[#This Row],[Retail]]-1,"-")</calculatedColumnFormula>
      <totalsRowFormula>IFERROR(Bundles[[#Totals],[CAD]]/Bundles[[#Totals],[Retail]]-1,"-")</totalsRow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BAD97A-0843-401B-A9A2-4B58AFEC5CDB}" name="Inventory" displayName="Inventory" ref="A1:AA4" totalsRowCount="1" headerRowDxfId="162">
  <sortState xmlns:xlrd2="http://schemas.microsoft.com/office/spreadsheetml/2017/richdata2" ref="A2:AA4">
    <sortCondition ref="A1:A4"/>
  </sortState>
  <tableColumns count="27">
    <tableColumn id="1" xr3:uid="{E2ABA0B8-8E6B-4713-8C85-62EEA2520144}" name="SKU" totalsRowLabel="Total" dataDxfId="161" totalsRowDxfId="106"/>
    <tableColumn id="2" xr3:uid="{7FC1F946-E02B-4FA1-82DC-89E887CE7E03}" name="Description" totalsRowFunction="count" dataDxfId="160" totalsRowDxfId="105">
      <calculatedColumnFormula>_xlfn.XLOOKUP(Inventory[[#This Row],[SKU]],Purchases[SKU],Purchases[Description],_xlfn.XLOOKUP(Inventory[[#This Row],[SKU]],Bundles[SKU],Bundles[Bundle]))</calculatedColumnFormula>
    </tableColumn>
    <tableColumn id="14" xr3:uid="{C93BBFC1-C014-493F-A026-45802CB593CA}" name="IsBundle" totalsRowFunction="custom" dataDxfId="159" totalsRowDxfId="104">
      <calculatedColumnFormula>NOT(ISERROR(_xlfn.XLOOKUP(Inventory[[#This Row],[SKU]],Bundles[SKU],Bundles[Bundle])))</calculatedColumnFormula>
      <totalsRowFormula>COUNTIF(Inventory[IsBundle],TRUE)</totalsRowFormula>
    </tableColumn>
    <tableColumn id="31" xr3:uid="{E6828699-A469-416B-ADB5-F6CA48C3D162}" name="Category" dataDxfId="158" totalsRowDxfId="103">
      <calculatedColumnFormula>IF(Inventory[[#This Row],[IsBundle]],"Bundle",_xlfn.XLOOKUP(VALUE(LEFT(Inventory[[#This Row],[SKU]],2)),Categories[Code],Categories[Name]))</calculatedColumnFormula>
    </tableColumn>
    <tableColumn id="23" xr3:uid="{6C0D5731-BDEA-AC46-987F-3AB20CCF7A7A}" name="Season" dataDxfId="157"/>
    <tableColumn id="3" xr3:uid="{382579CF-B8DB-405E-8888-CA9F108B7FED}" name="OnHand" totalsRowFunction="sum" dataDxfId="156" totalsRowDxfId="102">
      <calculatedColumnFormula>SUMIFS(Purchases[Rcvd],Purchases[SKU],Inventory[[#This Row],[SKU]],Purchases[DateRcvd],"&gt;0")</calculatedColumnFormula>
    </tableColumn>
    <tableColumn id="4" xr3:uid="{4DB5DFA1-3C28-49F2-BD32-2E823E67C19D}" name="OnOrder" totalsRowFunction="sum" dataDxfId="155" totalsRowDxfId="101">
      <calculatedColumnFormula>SUMIFS(Purchases[Rcvd],Purchases[SKU],Inventory[[#This Row],[SKU]],Purchases[DateRcvd],"")</calculatedColumnFormula>
    </tableColumn>
    <tableColumn id="5" xr3:uid="{2C314EF8-5860-40D0-86FF-F81D309B674A}" name="Allocated" totalsRowFunction="sum" dataDxfId="154" totalsRowDxfId="100">
      <calculatedColumnFormula>SUMIFS(Allocations[Allocated],Allocations[SKU],Inventory[[#This Row],[SKU]])</calculatedColumnFormula>
    </tableColumn>
    <tableColumn id="6" xr3:uid="{C90BB001-0E74-4D87-B996-9DDF65941809}" name="Avlb. to Sell" totalsRowFunction="sum" dataDxfId="153" totalsRowDxfId="99">
      <calculatedColumnFormula>MAX(0,_xlfn.XLOOKUP(Inventory[[#This Row],[SKU]],Bundles[SKU],Bundles[Qty],MAX(0,Inventory[[#This Row],[OnHand]]+Inventory[[#This Row],[OnOrder]]-Inventory[[#This Row],[Allocated]]))-Inventory[[#This Row],[Sold]])</calculatedColumnFormula>
    </tableColumn>
    <tableColumn id="7" xr3:uid="{F1C77DC3-B967-4B3C-901C-AA660C7CEDDC}" name="Avlb. to Ship" totalsRowFunction="sum" dataDxfId="130" totalsRowDxfId="98">
      <calculatedColumnFormula>IF(Inventory[[#This Row],[OnHand]]&gt;0,Inventory[[#This Row],[OnHand]]-Inventory[[#This Row],[Sold]],0)</calculatedColumnFormula>
    </tableColumn>
    <tableColumn id="8" xr3:uid="{A35470D5-9BF8-45B7-BB04-3E9C01253308}" name="OTB" totalsRowFunction="sum" dataDxfId="152" totalsRowDxfId="97">
      <calculatedColumnFormula>ABS(MIN(0,_xlfn.XLOOKUP(Inventory[[#This Row],[SKU]],Bundles[SKU],Bundles[Qty],MIN(0,Inventory[[#This Row],[OnHand]]+Inventory[[#This Row],[OnOrder]]-Inventory[[#This Row],[Allocated]]))))</calculatedColumnFormula>
    </tableColumn>
    <tableColumn id="10" xr3:uid="{50A77DE1-2097-45BF-A300-B6AD1008B013}" name="Avg. Cost$" totalsRowFunction="custom" dataDxfId="151" totalsRowDxfId="96">
      <calculatedColumnFormula>IFERROR(SUMIFS(Purchases[Cost],Purchases[SKU],Inventory[[#This Row],[SKU]])/SUMIFS(Purchases[Rcvd],Purchases[SKU],Inventory[[#This Row],[SKU]]),_xlfn.XLOOKUP(Inventory[[#This Row],[SKU]],Bundles[SKU],Bundles[Cost]))</calculatedColumnFormula>
      <totalsRowFormula>IFERROR(SUMPRODUCT(Inventory[Avlb. to Sell],Inventory[Avg. Cost$])/Inventory[[#Totals],[Avlb. to Sell]],"-")</totalsRowFormula>
    </tableColumn>
    <tableColumn id="11" xr3:uid="{535728C7-FA4E-4794-9D81-04CC78384133}" name="Avg. Retail$" totalsRowFunction="custom" dataDxfId="129" totalsRowDxfId="95">
      <calculatedColumnFormula>_xlfn.XLOOKUP(Inventory[[#This Row],[SKU]],Bundles[SKU],Bundles[CAD],AVERAGEIFS(Purchases[Retail],Purchases[SKU],Inventory[[#This Row],[SKU]]))</calculatedColumnFormula>
      <totalsRowFormula>IFERROR(SUMPRODUCT(Inventory[Avlb. to Sell],Inventory[Avg. Retail$])/Inventory[[#Totals],[Avlb. to Sell]],"-")</totalsRowFormula>
    </tableColumn>
    <tableColumn id="24" xr3:uid="{E466A282-7257-894B-A002-02EA6FDDC618}" name="Price" dataDxfId="150" totalsRowDxfId="94">
      <calculatedColumnFormula>Inventory[[#This Row],[Avg. Retail$]]</calculatedColumnFormula>
    </tableColumn>
    <tableColumn id="12" xr3:uid="{CE4E4FA1-531F-4D83-A1C3-69AE5BDE101B}" name="GM%" totalsRowFunction="custom" dataDxfId="149" totalsRowDxfId="93" dataCellStyle="Percent">
      <calculatedColumnFormula>IFERROR(1-Inventory[[#This Row],[Avg. Cost$]]/Inventory[[#This Row],[Avg. Retail$]],"-")</calculatedColumnFormula>
      <totalsRowFormula>IFERROR(1-Inventory[[#Totals],[Avg. Cost$]]/Inventory[[#Totals],[Avg. Retail$]],"-")</totalsRowFormula>
    </tableColumn>
    <tableColumn id="13" xr3:uid="{B3CF02BB-B691-4B8D-98F9-E825952E60F3}" name="Cost$" totalsRowFunction="sum" dataDxfId="148" totalsRowDxfId="92">
      <calculatedColumnFormula>IF(Inventory[[#This Row],[IsBundle]],0,Inventory[[#This Row],[Avg. Cost$]]*(Inventory[[#This Row],[Avlb. to Sell]]+Inventory[[#This Row],[Allocated]]))</calculatedColumnFormula>
    </tableColumn>
    <tableColumn id="25" xr3:uid="{02DD37C7-03FD-4D23-B029-8C7529DE4B2B}" name="Retail$" totalsRowFunction="sum" dataDxfId="147" totalsRowDxfId="91">
      <calculatedColumnFormula>IF(Inventory[[#This Row],[IsBundle]],0,Inventory[[#This Row],[Avg. Retail$]]*(Inventory[[#This Row],[Avlb. to Sell]]+Inventory[[#This Row],[Allocated]]))</calculatedColumnFormula>
    </tableColumn>
    <tableColumn id="9" xr3:uid="{D8920A7A-B67B-40D4-B853-63E625E509B0}" name="Sold" totalsRowFunction="sum" dataDxfId="146" totalsRowDxfId="90">
      <calculatedColumnFormula>SUMIFS(Sales[Qty],Sales[SKU],Inventory[[#This Row],[SKU]])</calculatedColumnFormula>
    </tableColumn>
    <tableColumn id="15" xr3:uid="{A5F58B55-2FF3-784D-A591-037C4187B891}" name="P6" totalsRowFunction="sum" dataDxfId="145" totalsRowDxfId="89">
      <calculatedColumnFormula>SUMIFS(Sales[Qty],Sales[SKU],Inventory[[#This Row],[SKU]],Sales[Period],S$1)</calculatedColumnFormula>
    </tableColumn>
    <tableColumn id="16" xr3:uid="{63413D04-CA7C-E440-8844-054810F70069}" name="P5" totalsRowFunction="sum" dataDxfId="144" totalsRowDxfId="88">
      <calculatedColumnFormula>SUMIFS(Sales[Qty],Sales[SKU],Inventory[[#This Row],[SKU]],Sales[Period],T$1)</calculatedColumnFormula>
    </tableColumn>
    <tableColumn id="17" xr3:uid="{FB2298F7-BFA7-DB4E-BB2F-2F9EAB4EB4C9}" name="P4" totalsRowFunction="sum" dataDxfId="143" totalsRowDxfId="87">
      <calculatedColumnFormula>SUMIFS(Sales[Qty],Sales[SKU],Inventory[[#This Row],[SKU]],Sales[Period],U$1)</calculatedColumnFormula>
    </tableColumn>
    <tableColumn id="18" xr3:uid="{66F64C33-F501-774E-85D1-A9D6CEF5617B}" name="P3" totalsRowFunction="sum" dataDxfId="142" totalsRowDxfId="86">
      <calculatedColumnFormula>SUMIFS(Sales[Qty],Sales[SKU],Inventory[[#This Row],[SKU]],Sales[Period],V$1)</calculatedColumnFormula>
    </tableColumn>
    <tableColumn id="19" xr3:uid="{277910CC-06B1-AD48-A590-037DAB6C5010}" name="P2" totalsRowFunction="sum" dataDxfId="141" totalsRowDxfId="85">
      <calculatedColumnFormula>SUMIFS(Sales[Qty],Sales[SKU],Inventory[[#This Row],[SKU]],Sales[Period],W$1)</calculatedColumnFormula>
    </tableColumn>
    <tableColumn id="20" xr3:uid="{452F41AA-89DA-6142-9E09-8F7DF051B940}" name="P1" totalsRowFunction="sum" dataDxfId="140" totalsRowDxfId="84">
      <calculatedColumnFormula>SUMIFS(Sales[Qty],Sales[SKU],Inventory[[#This Row],[SKU]],Sales[Period],X$1)</calculatedColumnFormula>
    </tableColumn>
    <tableColumn id="26" xr3:uid="{47D2F4EE-9287-3943-B8E0-8C7FABC17ACE}" name="CP" totalsRowFunction="sum" dataDxfId="139" totalsRowDxfId="83">
      <calculatedColumnFormula>SUMIFS(Sales[Qty],Sales[SKU],Inventory[[#This Row],[SKU]],Sales[Period],Y$1)</calculatedColumnFormula>
    </tableColumn>
    <tableColumn id="21" xr3:uid="{AC9031F8-EEB8-B247-9598-A6E484645D29}" name="WOS" totalsRowFunction="custom" dataDxfId="138" totalsRowDxfId="82">
      <calculatedColumnFormula>IFERROR(Inventory[[#This Row],[Avlb. to Sell]]/Inventory[[#This Row],[CP]],"-")</calculatedColumnFormula>
      <totalsRowFormula>IFERROR(Inventory[[#Totals],[Avlb. to Sell]]/Inventory[[#Totals],[P1]],"-")</totalsRowFormula>
    </tableColumn>
    <tableColumn id="22" xr3:uid="{90FDF039-4BB0-F84A-9236-2AA596AF9C97}" name="Turns" totalsRowFunction="custom" dataDxfId="137" totalsRowDxfId="81">
      <calculatedColumnFormula>IFERROR(52/Inventory[[#This Row],[WOS]],"-")</calculatedColumnFormula>
      <totalsRowFormula>IFERROR(52/Inventory[[#Totals],[WOS]],"-")</totalsRow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3DBD02-673C-404E-A3FF-C9A6547E413F}" name="Sales" displayName="Sales" ref="A1:M2" totalsRowShown="0">
  <tableColumns count="13">
    <tableColumn id="1" xr3:uid="{A2061DEA-6A94-4A82-9987-39D2BCD0C596}" name="Invoice" dataDxfId="66"/>
    <tableColumn id="9" xr3:uid="{6ED0D887-E923-40DA-B0C5-4371DC9401A3}" name="Item" dataDxfId="64"/>
    <tableColumn id="2" xr3:uid="{BF77DC8B-4051-4ADB-843A-6698B7DC4971}" name="InvoiceDate" dataDxfId="65"/>
    <tableColumn id="16" xr3:uid="{5C2D3882-5771-0642-88AF-143FDE1DB5A4}" name="PeriodStart" dataDxfId="67">
      <calculatedColumnFormula>Sales[[#This Row],[InvoiceDate]]-WEEKDAY(Sales[[#This Row],[InvoiceDate]])+1</calculatedColumnFormula>
    </tableColumn>
    <tableColumn id="15" xr3:uid="{44D4F773-236E-3848-B9B3-A3E2CE3FEA8D}" name="Period" dataDxfId="136">
      <calculatedColumnFormula>_xlfn.LET(_xlpm.P,N(((TODAY()-WEEKDAY(TODAY())+1-Sales[[#This Row],[PeriodStart]])/7)),IF(_xlpm.P=0,"CP","P"&amp;_xlpm.P))</calculatedColumnFormula>
    </tableColumn>
    <tableColumn id="3" xr3:uid="{5469611B-75AF-40F9-B4DF-BA3D98C553EA}" name="SKU" dataDxfId="135"/>
    <tableColumn id="11" xr3:uid="{A3196E70-3C3C-4981-8883-668CBB83B505}" name="Category" dataDxfId="134">
      <calculatedColumnFormula>IFERROR(_xlfn.XLOOKUP(Sales[[#This Row],[SKU]],Purchases[SKU],Purchases[Category]),"Bundle")</calculatedColumnFormula>
    </tableColumn>
    <tableColumn id="8" xr3:uid="{7C477F85-A77A-FA48-8D82-AA4B9236BAC5}" name="Season" dataDxfId="133">
      <calculatedColumnFormula array="1">_xlfn.XLOOKUP(Sales[[#This Row],[SKU]],Inventory[[#Data],[#Totals],[SKU]],Inventory[[#Data],[#Totals],[Season]])</calculatedColumnFormula>
    </tableColumn>
    <tableColumn id="4" xr3:uid="{8E1FF4B7-5399-4F7C-ACAF-70CF772EA8EB}" name="Qty" dataDxfId="132"/>
    <tableColumn id="12" xr3:uid="{D02063B1-F45F-4002-91F8-0ABA513714F6}" name="Retail" dataDxfId="63">
      <calculatedColumnFormula>IF(Sales[[#This Row],[Category]]="Bundle",_xlfn.XLOOKUP(Sales[[#This Row],[SKU]],Bundles[SKU],Bundles[CAD]),_xlfn.XLOOKUP(Sales[[#This Row],[SKU]],Purchases[SKU],Purchases[Retail]))*Sales[[#This Row],[Qty]]</calculatedColumnFormula>
    </tableColumn>
    <tableColumn id="5" xr3:uid="{0973C3BE-77A2-4249-ABA2-55F063A6B158}" name="Amount" dataDxfId="61"/>
    <tableColumn id="6" xr3:uid="{326EA3B3-0E30-475D-A1AE-806963132338}" name="Merch.Cost" dataDxfId="62">
      <calculatedColumnFormula>Sales[[#This Row],[Qty]]*_xlfn.XLOOKUP(Sales[[#This Row],[SKU]],Inventory[SKU],Inventory[Avg. Cost$])</calculatedColumnFormula>
    </tableColumn>
    <tableColumn id="7" xr3:uid="{9B154996-78A2-4104-806D-044E96DA7452}" name="GM$" dataDxfId="131">
      <calculatedColumnFormula>Sales[[#This Row],[Amount]]-Sales[[#This Row],[Merch.Cost]]</calculatedColumnFormula>
    </tableColumn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C9C97FF-FCF5-4C43-841F-75BC14463AB6}" name="Invoices" displayName="Invoices" ref="A1:T3" totalsRowCount="1">
  <tableColumns count="20">
    <tableColumn id="1" xr3:uid="{6BA80CD4-D20A-4C97-8235-7074B6B83646}" name="Invoice" totalsRowLabel="Total" dataDxfId="79" totalsRowDxfId="60"/>
    <tableColumn id="2" xr3:uid="{004C35C2-655F-4530-9BB0-3D6957111796}" name="Date" dataDxfId="77" totalsRowDxfId="59"/>
    <tableColumn id="3" xr3:uid="{AC28CD67-867E-4872-9BAF-9F6938ED6BE2}" name="PeriodStart" dataDxfId="78" totalsRowDxfId="58">
      <calculatedColumnFormula>_xlfn.LET(_xlpm.PeriodStartDate,Invoices[[#This Row],[Date]]-WEEKDAY(Invoices[[#This Row],[Date]])+1, IF(_xlpm.PeriodStartDate&lt;0,"-",_xlpm.PeriodStartDate))</calculatedColumnFormula>
    </tableColumn>
    <tableColumn id="4" xr3:uid="{D2519715-2A11-4223-8633-E269F07FE133}" name="Period" dataDxfId="74" totalsRowDxfId="57">
      <calculatedColumnFormula>IFERROR(_xlfn.LET(_xlpm.P,N(((TODAY()-WEEKDAY(TODAY())+1-Invoices[[#This Row],[PeriodStart]])/7)),IF(_xlpm.P=0,"CP","P"&amp;_xlpm.P)),"-")</calculatedColumnFormula>
    </tableColumn>
    <tableColumn id="5" xr3:uid="{C10B718E-28F6-4AD3-8A2E-8C345094AFF7}" name="Email" dataDxfId="72" totalsRowDxfId="56" dataCellStyle="Hyperlink"/>
    <tableColumn id="10" xr3:uid="{DEA1CACB-EC23-4F27-B03C-B032DF57540A}" name="Amount" totalsRowFunction="sum" dataDxfId="73" totalsRowDxfId="55">
      <calculatedColumnFormula>SUMIFS(Sales[Amount],Sales[Invoice],Invoices[[#This Row],[Invoice]])</calculatedColumnFormula>
    </tableColumn>
    <tableColumn id="11" xr3:uid="{87528510-4E94-4F51-9788-6CDEB848D98C}" name="ShipCharge" totalsRowFunction="sum" dataDxfId="75" totalsRowDxfId="54"/>
    <tableColumn id="18" xr3:uid="{3190E816-64C8-433C-A5D2-D1CAF053606A}" name="ShipCost" totalsRowFunction="sum" dataDxfId="76" totalsRowDxfId="53"/>
    <tableColumn id="8" xr3:uid="{482402AA-03F3-4B29-B3C5-22B60C85C52D}" name="Shipping" totalsRowFunction="sum" dataDxfId="80" totalsRowDxfId="52">
      <calculatedColumnFormula>Invoices[[#This Row],[ShipCharge]]-Invoices[[#This Row],[ShipCost]]</calculatedColumnFormula>
    </tableColumn>
    <tableColumn id="13" xr3:uid="{60A95CBC-D7CC-46F1-905E-2D5AB4B428C8}" name="GST/QST*" totalsRowFunction="sum" dataDxfId="128" totalsRowDxfId="51">
      <calculatedColumnFormula>2*0.09975*Invoices[[#This Row],[Amount]]</calculatedColumnFormula>
    </tableColumn>
    <tableColumn id="12" xr3:uid="{AFF15BA7-A32A-4C2A-B0D1-8BD943124C83}" name="Taxes" totalsRowFunction="sum" dataDxfId="127" totalsRowDxfId="50">
      <calculatedColumnFormula>0</calculatedColumnFormula>
    </tableColumn>
    <tableColumn id="20" xr3:uid="{BBF7D381-51EC-42CC-89B6-F543D0CC749E}" name="Total" totalsRowFunction="sum" dataDxfId="126" totalsRowDxfId="49">
      <calculatedColumnFormula>Invoices[[#This Row],[Amount]]+Invoices[[#This Row],[ShipCharge]]</calculatedColumnFormula>
    </tableColumn>
    <tableColumn id="14" xr3:uid="{EEFB1D5E-4544-4F11-B702-2E9A2AA3E134}" name="Merch.Cost" totalsRowFunction="sum" dataDxfId="125" totalsRowDxfId="48">
      <calculatedColumnFormula>SUMIFS(Sales[Merch.Cost],Sales[Invoice],Invoices[[#This Row],[Invoice]])</calculatedColumnFormula>
    </tableColumn>
    <tableColumn id="9" xr3:uid="{FE0184CA-85AF-440D-B27E-EEA9B8AD3BE3}" name="NetTotal" totalsRowFunction="sum" dataDxfId="124" totalsRowDxfId="47">
      <calculatedColumnFormula>Invoices[[#This Row],[Amount]]+Invoices[[#This Row],[ShipCharge]]-Invoices[[#This Row],[ShipCost]]</calculatedColumnFormula>
    </tableColumn>
    <tableColumn id="19" xr3:uid="{645DB8C5-07B1-4A56-B14D-F9286CF8F96F}" name="COGS" totalsRowFunction="sum" dataDxfId="123" totalsRowDxfId="46">
      <calculatedColumnFormula>(Invoices[[#This Row],[Merch.Cost]]+Invoices[[#This Row],[ShipCost]])-Invoices[[#This Row],[ShipCharge]]</calculatedColumnFormula>
    </tableColumn>
    <tableColumn id="15" xr3:uid="{13C80AE4-D8AA-4902-9D92-FC29456724F8}" name="GM$" totalsRowFunction="sum" dataDxfId="122" totalsRowDxfId="45">
      <calculatedColumnFormula>Invoices[[#This Row],[NetTotal]]-Invoices[[#This Row],[COGS]]</calculatedColumnFormula>
    </tableColumn>
    <tableColumn id="7" xr3:uid="{CDE8EAD7-174B-46E0-B0D1-C47F1936C53B}" name="GM%" totalsRowFunction="custom" dataDxfId="71" totalsRowDxfId="44" dataCellStyle="Percent">
      <calculatedColumnFormula>1-Invoices[[#This Row],[COGS]]/Invoices[[#This Row],[NetTotal]]</calculatedColumnFormula>
      <totalsRowFormula>IFERROR(1-Invoices[[#Totals],[COGS]]/Invoices[[#Totals],[NetTotal]],"-")</totalsRowFormula>
    </tableColumn>
    <tableColumn id="21" xr3:uid="{EA3CC6E4-7BA4-4FCB-8466-2F4D2FFE4CA4}" name="Shipment" dataDxfId="70" totalsRowDxfId="43" dataCellStyle="Percent"/>
    <tableColumn id="16" xr3:uid="{AA38F214-0607-4818-A0BC-F2DBA126FA92}" name="FulfillDate" dataDxfId="69" totalsRowDxfId="42"/>
    <tableColumn id="17" xr3:uid="{256DEB93-D3C8-4CCC-9A54-F4EA74F149F8}" name="ShipToCountry" totalsRowFunction="count" dataDxfId="68" totalsRowDxfId="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3-03-16T22:19:49.62" personId="{C7BDF051-40C0-4C81-BAE2-FEA7BE50B5D7}" id="{B4F16068-9A9A-4CD6-AD46-3160C32C4CF0}">
    <text>*9.975% applies to both GST/QST
The tax amount that should have been charged by the vendor.</text>
  </threadedComment>
  <threadedComment ref="N1" dT="2023-03-17T02:29:54.89" personId="{C7BDF051-40C0-4C81-BAE2-FEA7BE50B5D7}" id="{F4B26D94-580D-45E5-8B64-A7B0661574A8}">
    <text>Only actually due if total yearly sales surpass $30K.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hyperlink" Target="mailto:rubberduckvb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759B-5119-4348-BDE1-C8B52979C049}">
  <sheetPr codeName="InvoiceTemplateSheet">
    <tabColor theme="0"/>
  </sheetPr>
  <dimension ref="B1:N33"/>
  <sheetViews>
    <sheetView showGridLines="0" tabSelected="1" view="pageLayout" zoomScale="90" zoomScaleNormal="100" zoomScalePageLayoutView="90" workbookViewId="0">
      <selection activeCell="B26" sqref="B26"/>
    </sheetView>
  </sheetViews>
  <sheetFormatPr defaultRowHeight="15" x14ac:dyDescent="0.25"/>
  <cols>
    <col min="1" max="1" width="0.85546875" customWidth="1"/>
    <col min="2" max="2" width="5.42578125" customWidth="1"/>
    <col min="3" max="3" width="19.85546875" customWidth="1"/>
    <col min="4" max="4" width="5" bestFit="1" customWidth="1"/>
    <col min="5" max="5" width="27.85546875" customWidth="1"/>
    <col min="6" max="7" width="7.28515625" customWidth="1"/>
    <col min="8" max="8" width="12.28515625" bestFit="1" customWidth="1"/>
  </cols>
  <sheetData>
    <row r="1" spans="2:14" ht="18.75" x14ac:dyDescent="0.3">
      <c r="B1" s="42"/>
    </row>
    <row r="2" spans="2:14" x14ac:dyDescent="0.25">
      <c r="B2" s="43"/>
      <c r="C2" s="52" t="s">
        <v>0</v>
      </c>
      <c r="D2" s="52"/>
      <c r="F2" s="52" t="s">
        <v>1</v>
      </c>
      <c r="G2" s="52"/>
      <c r="H2" s="53"/>
    </row>
    <row r="3" spans="2:14" ht="18" x14ac:dyDescent="0.35">
      <c r="C3" s="114"/>
      <c r="D3" s="44"/>
      <c r="F3" s="114"/>
      <c r="H3" s="44"/>
      <c r="N3" s="155"/>
    </row>
    <row r="4" spans="2:14" x14ac:dyDescent="0.25">
      <c r="C4" s="45"/>
      <c r="D4" s="45"/>
      <c r="F4" s="45"/>
      <c r="G4" s="45"/>
      <c r="H4" s="45"/>
    </row>
    <row r="5" spans="2:14" x14ac:dyDescent="0.25">
      <c r="D5" s="44"/>
      <c r="E5" s="13"/>
      <c r="F5" s="45"/>
      <c r="G5" s="45"/>
      <c r="H5" s="45"/>
    </row>
    <row r="6" spans="2:14" ht="18" x14ac:dyDescent="0.35">
      <c r="C6" s="143"/>
      <c r="D6" s="45"/>
      <c r="F6" s="143"/>
      <c r="G6" s="45"/>
      <c r="H6" s="45"/>
      <c r="I6" s="155"/>
    </row>
    <row r="7" spans="2:14" x14ac:dyDescent="0.25">
      <c r="C7" s="45"/>
      <c r="D7" s="45"/>
      <c r="F7" s="45"/>
      <c r="G7" s="45"/>
      <c r="H7" s="45"/>
    </row>
    <row r="8" spans="2:14" x14ac:dyDescent="0.25">
      <c r="E8" s="13"/>
    </row>
    <row r="9" spans="2:14" x14ac:dyDescent="0.25">
      <c r="C9" s="56"/>
      <c r="E9" s="115"/>
    </row>
    <row r="10" spans="2:14" x14ac:dyDescent="0.25">
      <c r="C10" s="12"/>
    </row>
    <row r="12" spans="2:14" ht="15.75" thickBot="1" x14ac:dyDescent="0.3">
      <c r="B12" s="46" t="s">
        <v>2</v>
      </c>
      <c r="C12" s="47" t="s">
        <v>3</v>
      </c>
      <c r="D12" s="47" t="s">
        <v>4</v>
      </c>
      <c r="E12" s="47"/>
      <c r="F12" s="47"/>
      <c r="G12" s="46" t="s">
        <v>5</v>
      </c>
      <c r="H12" s="46" t="s">
        <v>6</v>
      </c>
    </row>
    <row r="13" spans="2:14" x14ac:dyDescent="0.25">
      <c r="B13" s="147">
        <v>1</v>
      </c>
      <c r="C13" s="158"/>
      <c r="D13" s="162"/>
      <c r="E13" s="148"/>
      <c r="F13" s="146"/>
      <c r="G13" s="173"/>
      <c r="H13" s="174">
        <v>0</v>
      </c>
    </row>
    <row r="14" spans="2:14" x14ac:dyDescent="0.25">
      <c r="B14" s="144">
        <v>2</v>
      </c>
      <c r="C14" s="121"/>
      <c r="D14" s="167"/>
      <c r="F14" s="140"/>
      <c r="G14" s="168"/>
      <c r="H14" s="169">
        <v>0</v>
      </c>
    </row>
    <row r="15" spans="2:14" x14ac:dyDescent="0.25">
      <c r="B15" s="145">
        <v>3</v>
      </c>
      <c r="C15" s="157"/>
      <c r="D15" s="161"/>
      <c r="E15" s="159"/>
      <c r="F15" s="146"/>
      <c r="G15" s="153"/>
      <c r="H15" s="174">
        <v>0</v>
      </c>
    </row>
    <row r="16" spans="2:14" x14ac:dyDescent="0.25">
      <c r="B16" s="144">
        <v>4</v>
      </c>
      <c r="C16" s="120"/>
      <c r="D16" s="160"/>
      <c r="F16" s="140"/>
      <c r="G16" s="154"/>
      <c r="H16" s="169">
        <v>0</v>
      </c>
    </row>
    <row r="17" spans="2:8" x14ac:dyDescent="0.25">
      <c r="B17" s="145">
        <v>5</v>
      </c>
      <c r="C17" s="157"/>
      <c r="D17" s="161"/>
      <c r="E17" s="159"/>
      <c r="F17" s="146"/>
      <c r="G17" s="153"/>
      <c r="H17" s="174">
        <v>0</v>
      </c>
    </row>
    <row r="18" spans="2:8" x14ac:dyDescent="0.25">
      <c r="B18" s="144">
        <v>6</v>
      </c>
      <c r="C18" s="120"/>
      <c r="D18" s="160"/>
      <c r="F18" s="140"/>
      <c r="G18" s="154"/>
      <c r="H18" s="169">
        <v>0</v>
      </c>
    </row>
    <row r="19" spans="2:8" x14ac:dyDescent="0.25">
      <c r="B19" s="145">
        <v>7</v>
      </c>
      <c r="C19" s="157"/>
      <c r="D19" s="161"/>
      <c r="E19" s="159"/>
      <c r="F19" s="146"/>
      <c r="G19" s="153"/>
      <c r="H19" s="174">
        <v>0</v>
      </c>
    </row>
    <row r="20" spans="2:8" x14ac:dyDescent="0.25">
      <c r="B20" s="144">
        <v>8</v>
      </c>
      <c r="C20" s="120"/>
      <c r="D20" s="160"/>
      <c r="F20" s="140"/>
      <c r="G20" s="154"/>
      <c r="H20" s="169">
        <v>0</v>
      </c>
    </row>
    <row r="21" spans="2:8" x14ac:dyDescent="0.25">
      <c r="B21" s="145">
        <v>9</v>
      </c>
      <c r="C21" s="157"/>
      <c r="D21" s="161"/>
      <c r="E21" s="159"/>
      <c r="F21" s="146"/>
      <c r="G21" s="153"/>
      <c r="H21" s="174">
        <v>0</v>
      </c>
    </row>
    <row r="22" spans="2:8" x14ac:dyDescent="0.25">
      <c r="B22" s="144">
        <v>10</v>
      </c>
      <c r="C22" s="120"/>
      <c r="D22" s="160"/>
      <c r="F22" s="140"/>
      <c r="G22" s="154"/>
      <c r="H22" s="169">
        <v>0</v>
      </c>
    </row>
    <row r="23" spans="2:8" ht="15.75" thickBot="1" x14ac:dyDescent="0.3">
      <c r="B23" s="48"/>
      <c r="C23" s="48"/>
      <c r="D23" s="48"/>
      <c r="E23" s="48"/>
      <c r="F23" s="48"/>
      <c r="G23" s="50" t="s">
        <v>7</v>
      </c>
      <c r="H23" s="150">
        <f>SUBTOTAL(9,H13:H22)</f>
        <v>0</v>
      </c>
    </row>
    <row r="24" spans="2:8" ht="7.5" customHeight="1" thickTop="1" x14ac:dyDescent="0.25">
      <c r="H24" s="149"/>
    </row>
    <row r="25" spans="2:8" x14ac:dyDescent="0.25">
      <c r="G25" s="30"/>
      <c r="H25" s="149"/>
    </row>
    <row r="26" spans="2:8" x14ac:dyDescent="0.25">
      <c r="G26" s="30" t="s">
        <v>158</v>
      </c>
      <c r="H26" s="149">
        <v>20</v>
      </c>
    </row>
    <row r="27" spans="2:8" ht="7.5" customHeight="1" x14ac:dyDescent="0.25">
      <c r="H27" s="149"/>
    </row>
    <row r="28" spans="2:8" ht="15.75" x14ac:dyDescent="0.25">
      <c r="G28" s="54" t="s">
        <v>8</v>
      </c>
      <c r="H28" s="152">
        <f>H26+H23</f>
        <v>20</v>
      </c>
    </row>
    <row r="29" spans="2:8" ht="7.5" customHeight="1" x14ac:dyDescent="0.25">
      <c r="H29" s="149"/>
    </row>
    <row r="30" spans="2:8" ht="15.75" thickBot="1" x14ac:dyDescent="0.3">
      <c r="G30" s="30" t="s">
        <v>9</v>
      </c>
      <c r="H30" s="149">
        <f>H28</f>
        <v>20</v>
      </c>
    </row>
    <row r="31" spans="2:8" ht="16.5" thickBot="1" x14ac:dyDescent="0.3">
      <c r="C31" s="59"/>
      <c r="G31" s="54" t="s">
        <v>10</v>
      </c>
      <c r="H31" s="151">
        <f>H28-H30</f>
        <v>0</v>
      </c>
    </row>
    <row r="32" spans="2:8" x14ac:dyDescent="0.25">
      <c r="C32" s="59"/>
      <c r="H32" s="55"/>
    </row>
    <row r="33" spans="3:3" x14ac:dyDescent="0.25">
      <c r="C33" s="59"/>
    </row>
  </sheetData>
  <conditionalFormatting sqref="H13:H22">
    <cfRule type="expression" dxfId="40" priority="9">
      <formula>AND(ISBLANK($D13),OR(ISBLANK($C13),ISBLANK(#REF!)))</formula>
    </cfRule>
  </conditionalFormatting>
  <pageMargins left="0.7" right="0.7" top="0.75" bottom="0.75" header="0.3" footer="0.3"/>
  <pageSetup orientation="portrait" r:id="rId1"/>
  <headerFooter>
    <oddHeader>&amp;L&amp;"-,Bold"&amp;16Rubberduck Swag Shop&amp;C&amp;"Engravers MT,Regular"&amp;20INVOICE
&amp;G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4BB46-7C30-1041-AAC9-96F2DCF8E196}">
  <sheetPr codeName="Sheet2"/>
  <dimension ref="A1:K10"/>
  <sheetViews>
    <sheetView zoomScaleNormal="60" zoomScaleSheetLayoutView="100" workbookViewId="0">
      <selection activeCell="D4" sqref="D4"/>
    </sheetView>
  </sheetViews>
  <sheetFormatPr defaultRowHeight="15" x14ac:dyDescent="0.25"/>
  <cols>
    <col min="2" max="2" width="10.28515625" bestFit="1" customWidth="1"/>
    <col min="5" max="5" width="12" bestFit="1" customWidth="1"/>
    <col min="6" max="6" width="13.5703125" bestFit="1" customWidth="1"/>
    <col min="9" max="9" width="6.42578125" bestFit="1" customWidth="1"/>
    <col min="10" max="10" width="19.5703125" bestFit="1" customWidth="1"/>
    <col min="11" max="11" width="9.7109375" bestFit="1" customWidth="1"/>
  </cols>
  <sheetData>
    <row r="1" spans="1:11" s="35" customFormat="1" ht="18.75" x14ac:dyDescent="0.3">
      <c r="A1" s="35" t="s">
        <v>11</v>
      </c>
      <c r="D1" s="35" t="s">
        <v>12</v>
      </c>
      <c r="H1" s="35" t="s">
        <v>13</v>
      </c>
    </row>
    <row r="3" spans="1:11" x14ac:dyDescent="0.25">
      <c r="A3" t="s">
        <v>14</v>
      </c>
      <c r="B3" t="s">
        <v>15</v>
      </c>
      <c r="D3" t="s">
        <v>14</v>
      </c>
      <c r="E3" t="s">
        <v>16</v>
      </c>
      <c r="F3" t="s">
        <v>15</v>
      </c>
      <c r="H3" t="s">
        <v>14</v>
      </c>
      <c r="I3" t="s">
        <v>16</v>
      </c>
      <c r="J3" t="s">
        <v>15</v>
      </c>
      <c r="K3" t="s">
        <v>140</v>
      </c>
    </row>
    <row r="4" spans="1:11" x14ac:dyDescent="0.25">
      <c r="A4">
        <v>10</v>
      </c>
      <c r="B4" t="s">
        <v>17</v>
      </c>
      <c r="D4">
        <v>701</v>
      </c>
      <c r="E4" t="s">
        <v>26</v>
      </c>
      <c r="F4" s="5" t="s">
        <v>166</v>
      </c>
      <c r="H4" t="s">
        <v>18</v>
      </c>
      <c r="I4" t="s">
        <v>19</v>
      </c>
      <c r="J4" t="s">
        <v>20</v>
      </c>
      <c r="K4" s="57">
        <v>45017</v>
      </c>
    </row>
    <row r="5" spans="1:11" x14ac:dyDescent="0.25">
      <c r="A5">
        <v>20</v>
      </c>
      <c r="B5" t="s">
        <v>21</v>
      </c>
      <c r="F5" s="5"/>
      <c r="H5" t="s">
        <v>138</v>
      </c>
      <c r="I5" t="s">
        <v>137</v>
      </c>
      <c r="J5" t="s">
        <v>139</v>
      </c>
      <c r="K5" s="57">
        <v>45017</v>
      </c>
    </row>
    <row r="6" spans="1:11" x14ac:dyDescent="0.25">
      <c r="A6">
        <v>30</v>
      </c>
      <c r="B6" t="s">
        <v>25</v>
      </c>
      <c r="F6" s="5"/>
      <c r="H6" t="s">
        <v>27</v>
      </c>
      <c r="I6" t="s">
        <v>28</v>
      </c>
      <c r="J6" t="s">
        <v>141</v>
      </c>
      <c r="K6" s="57">
        <v>45108</v>
      </c>
    </row>
    <row r="7" spans="1:11" x14ac:dyDescent="0.25">
      <c r="A7">
        <v>50</v>
      </c>
      <c r="B7" t="s">
        <v>128</v>
      </c>
      <c r="F7" s="5"/>
      <c r="H7" t="s">
        <v>22</v>
      </c>
      <c r="I7" t="s">
        <v>23</v>
      </c>
      <c r="J7" t="s">
        <v>24</v>
      </c>
      <c r="K7" s="57">
        <v>45017</v>
      </c>
    </row>
    <row r="8" spans="1:11" x14ac:dyDescent="0.25">
      <c r="A8">
        <v>60</v>
      </c>
      <c r="B8" t="s">
        <v>29</v>
      </c>
      <c r="E8" s="5"/>
      <c r="H8" t="s">
        <v>142</v>
      </c>
      <c r="I8" t="s">
        <v>143</v>
      </c>
      <c r="J8" t="s">
        <v>144</v>
      </c>
      <c r="K8" s="57">
        <v>45200</v>
      </c>
    </row>
    <row r="9" spans="1:11" x14ac:dyDescent="0.25">
      <c r="A9">
        <v>40</v>
      </c>
      <c r="B9" t="s">
        <v>30</v>
      </c>
      <c r="E9" s="5"/>
      <c r="H9" t="s">
        <v>147</v>
      </c>
      <c r="I9" t="s">
        <v>145</v>
      </c>
      <c r="J9" t="s">
        <v>146</v>
      </c>
      <c r="K9" s="57">
        <v>45292</v>
      </c>
    </row>
    <row r="10" spans="1:11" x14ac:dyDescent="0.25">
      <c r="E10" s="5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AE580-DC88-4C2D-87F3-790A0990FDB7}">
  <sheetPr codeName="Sheet3"/>
  <dimension ref="B2:AJ22"/>
  <sheetViews>
    <sheetView showGridLines="0" workbookViewId="0">
      <selection activeCell="E12" sqref="E12"/>
    </sheetView>
  </sheetViews>
  <sheetFormatPr defaultRowHeight="15" x14ac:dyDescent="0.25"/>
  <cols>
    <col min="1" max="1" width="4.5703125" customWidth="1"/>
    <col min="2" max="2" width="9.28515625" bestFit="1" customWidth="1"/>
    <col min="3" max="3" width="10.28515625" bestFit="1" customWidth="1"/>
    <col min="4" max="4" width="11.85546875" bestFit="1" customWidth="1"/>
    <col min="5" max="5" width="11.5703125" bestFit="1" customWidth="1"/>
    <col min="6" max="6" width="10.28515625" bestFit="1" customWidth="1"/>
    <col min="7" max="7" width="8.7109375" bestFit="1" customWidth="1"/>
    <col min="8" max="8" width="10" bestFit="1" customWidth="1"/>
    <col min="9" max="9" width="10.7109375" bestFit="1" customWidth="1"/>
    <col min="11" max="11" width="9.28515625" bestFit="1" customWidth="1"/>
    <col min="12" max="12" width="10.28515625" bestFit="1" customWidth="1"/>
    <col min="13" max="13" width="11.85546875" bestFit="1" customWidth="1"/>
    <col min="14" max="14" width="11.5703125" bestFit="1" customWidth="1"/>
    <col min="15" max="15" width="10.28515625" bestFit="1" customWidth="1"/>
    <col min="16" max="16" width="8.7109375" bestFit="1" customWidth="1"/>
    <col min="17" max="17" width="10" customWidth="1"/>
    <col min="18" max="18" width="9.7109375" bestFit="1" customWidth="1"/>
    <col min="20" max="20" width="13.140625" bestFit="1" customWidth="1"/>
    <col min="21" max="21" width="10.28515625" bestFit="1" customWidth="1"/>
    <col min="22" max="22" width="11.85546875" bestFit="1" customWidth="1"/>
    <col min="23" max="23" width="11.5703125" bestFit="1" customWidth="1"/>
    <col min="24" max="24" width="10.28515625" bestFit="1" customWidth="1"/>
    <col min="25" max="25" width="9.140625" bestFit="1" customWidth="1"/>
    <col min="26" max="26" width="10" bestFit="1" customWidth="1"/>
    <col min="27" max="27" width="9.7109375" bestFit="1" customWidth="1"/>
    <col min="29" max="29" width="13.140625" bestFit="1" customWidth="1"/>
    <col min="30" max="30" width="10.28515625" bestFit="1" customWidth="1"/>
    <col min="31" max="31" width="11.85546875" bestFit="1" customWidth="1"/>
    <col min="32" max="32" width="11.5703125" bestFit="1" customWidth="1"/>
    <col min="33" max="33" width="10.28515625" bestFit="1" customWidth="1"/>
    <col min="34" max="34" width="9.140625" bestFit="1" customWidth="1"/>
    <col min="35" max="35" width="10" bestFit="1" customWidth="1"/>
    <col min="36" max="36" width="9.7109375" bestFit="1" customWidth="1"/>
  </cols>
  <sheetData>
    <row r="2" spans="2:36" ht="18.75" x14ac:dyDescent="0.3">
      <c r="B2" s="35" t="s">
        <v>17</v>
      </c>
      <c r="K2" s="35" t="s">
        <v>21</v>
      </c>
      <c r="T2" s="35" t="s">
        <v>25</v>
      </c>
      <c r="AC2" s="35" t="s">
        <v>128</v>
      </c>
    </row>
    <row r="4" spans="2:36" x14ac:dyDescent="0.25">
      <c r="B4" s="41" t="s">
        <v>31</v>
      </c>
      <c r="C4" s="73">
        <f>SUMIFS(Purchases[Total],Purchases[Category],$B$2)/SUMIFS(Purchases[Ordered],Purchases[Category],$B$2)</f>
        <v>0.5</v>
      </c>
      <c r="D4" s="30" t="s">
        <v>32</v>
      </c>
      <c r="E4" s="13">
        <f>COUNTIFS(Purchases[Category],B2)</f>
        <v>1</v>
      </c>
      <c r="F4" s="13"/>
      <c r="K4" s="41" t="s">
        <v>31</v>
      </c>
      <c r="L4" s="73" t="e">
        <f>SUMIFS(Purchases[Total],Purchases[Category],$K$2)/SUMIFS(Purchases[Ordered],Purchases[Category],$K$2)</f>
        <v>#DIV/0!</v>
      </c>
      <c r="M4" s="30" t="s">
        <v>32</v>
      </c>
      <c r="N4" s="13">
        <f>COUNTIFS(Purchases[Category],K2)</f>
        <v>0</v>
      </c>
      <c r="O4" s="13"/>
      <c r="P4" s="13"/>
      <c r="Q4" s="13"/>
      <c r="R4" s="13"/>
      <c r="T4" s="41" t="s">
        <v>31</v>
      </c>
      <c r="U4" s="73" t="e">
        <f>SUMIFS(Purchases[Total],Purchases[Category],$T$2)/SUMIFS(Purchases[Ordered],Purchases[Category],$T$2)</f>
        <v>#DIV/0!</v>
      </c>
      <c r="V4" s="30" t="s">
        <v>32</v>
      </c>
      <c r="W4" s="13">
        <f>COUNTIFS(Purchases[Category],T2)</f>
        <v>0</v>
      </c>
      <c r="AC4" s="41" t="s">
        <v>31</v>
      </c>
      <c r="AD4" s="73" t="e">
        <f>SUMIFS(Purchases[Total],Purchases[Category],AC2)/SUMIFS(Purchases[Ordered],Purchases[Category],AC2)</f>
        <v>#DIV/0!</v>
      </c>
      <c r="AE4" s="30" t="s">
        <v>32</v>
      </c>
      <c r="AF4" s="13">
        <f>COUNTIFS(Purchases[Category],AC2)</f>
        <v>0</v>
      </c>
    </row>
    <row r="5" spans="2:36" x14ac:dyDescent="0.25">
      <c r="B5" t="s">
        <v>33</v>
      </c>
      <c r="C5" s="62">
        <f>_xlfn.MINIFS(Purchases[Unit],Purchases[Category],$B$2)</f>
        <v>0.5</v>
      </c>
      <c r="D5" s="30" t="s">
        <v>34</v>
      </c>
      <c r="E5" s="13">
        <f>_xlfn.XLOOKUP(B2,Categories[Name],Categories[Code])</f>
        <v>10</v>
      </c>
      <c r="K5" t="s">
        <v>33</v>
      </c>
      <c r="L5" s="62">
        <f>_xlfn.MINIFS(Purchases[Unit],Purchases[Category],$K$2)</f>
        <v>0</v>
      </c>
      <c r="M5" s="30" t="s">
        <v>34</v>
      </c>
      <c r="N5" s="13">
        <f>_xlfn.XLOOKUP(K2,Categories[Name],Categories[Code])</f>
        <v>20</v>
      </c>
      <c r="T5" t="s">
        <v>33</v>
      </c>
      <c r="U5" s="62">
        <f>_xlfn.MINIFS(Purchases[Unit],Purchases[Category],$T$2)</f>
        <v>0</v>
      </c>
      <c r="V5" s="30" t="s">
        <v>34</v>
      </c>
      <c r="W5" s="13">
        <f>_xlfn.XLOOKUP(T2,Categories[Name],Categories[Code])</f>
        <v>30</v>
      </c>
      <c r="AC5" t="s">
        <v>33</v>
      </c>
      <c r="AD5" s="62">
        <f>_xlfn.MINIFS(Purchases[Unit],Purchases[Category],AC2)</f>
        <v>0</v>
      </c>
      <c r="AE5" s="30" t="s">
        <v>34</v>
      </c>
      <c r="AF5" s="13">
        <f>_xlfn.XLOOKUP(AC2,Categories[Name],Categories[Code])</f>
        <v>50</v>
      </c>
    </row>
    <row r="6" spans="2:36" x14ac:dyDescent="0.25">
      <c r="B6" s="41" t="s">
        <v>35</v>
      </c>
      <c r="C6" s="73">
        <f>AVERAGE(C5,C7)</f>
        <v>0.5</v>
      </c>
      <c r="D6" s="74">
        <f>C7-C5</f>
        <v>0</v>
      </c>
      <c r="K6" s="41" t="s">
        <v>35</v>
      </c>
      <c r="L6" s="73">
        <f>AVERAGE(L5,L7)</f>
        <v>0</v>
      </c>
      <c r="M6" s="74">
        <f>L7-L5</f>
        <v>0</v>
      </c>
      <c r="T6" s="41" t="s">
        <v>35</v>
      </c>
      <c r="U6" s="73">
        <f>AVERAGE(U5,U7)</f>
        <v>0</v>
      </c>
      <c r="V6" s="74">
        <f>U7-U5</f>
        <v>0</v>
      </c>
      <c r="AC6" s="41" t="s">
        <v>35</v>
      </c>
      <c r="AD6" s="73">
        <f>AVERAGE(AD5,AD7)</f>
        <v>0</v>
      </c>
      <c r="AE6" s="74">
        <f>AD7-AD5</f>
        <v>0</v>
      </c>
    </row>
    <row r="7" spans="2:36" x14ac:dyDescent="0.25">
      <c r="B7" t="s">
        <v>36</v>
      </c>
      <c r="C7" s="62">
        <f>_xlfn.MAXIFS(Purchases[Unit],Purchases[Category],$B$2)</f>
        <v>0.5</v>
      </c>
      <c r="K7" t="s">
        <v>36</v>
      </c>
      <c r="L7" s="62">
        <f>_xlfn.MAXIFS(Purchases[Unit],Purchases[Category],$K$2)</f>
        <v>0</v>
      </c>
      <c r="T7" t="s">
        <v>36</v>
      </c>
      <c r="U7" s="62">
        <f>_xlfn.MAXIFS(Purchases[Unit],Purchases[Category],$T$2)</f>
        <v>0</v>
      </c>
      <c r="AC7" t="s">
        <v>36</v>
      </c>
      <c r="AD7" s="62">
        <f>_xlfn.MAXIFS(Purchases[Unit],Purchases[Category],AC2)</f>
        <v>0</v>
      </c>
    </row>
    <row r="8" spans="2:36" ht="15.75" thickBot="1" x14ac:dyDescent="0.3">
      <c r="B8" s="30"/>
      <c r="O8" s="30"/>
      <c r="P8" s="30"/>
      <c r="Q8" s="30"/>
      <c r="R8" s="30"/>
    </row>
    <row r="9" spans="2:36" ht="15.75" thickBot="1" x14ac:dyDescent="0.3">
      <c r="B9" s="65" t="s">
        <v>37</v>
      </c>
      <c r="C9" s="66" t="s">
        <v>38</v>
      </c>
      <c r="D9" s="68" t="s">
        <v>39</v>
      </c>
      <c r="E9" s="64" t="s">
        <v>40</v>
      </c>
      <c r="F9" s="64" t="s">
        <v>41</v>
      </c>
      <c r="G9" s="64" t="s">
        <v>42</v>
      </c>
      <c r="H9" s="64" t="s">
        <v>43</v>
      </c>
      <c r="I9" s="64" t="s">
        <v>44</v>
      </c>
      <c r="K9" s="65" t="s">
        <v>37</v>
      </c>
      <c r="L9" s="66" t="s">
        <v>38</v>
      </c>
      <c r="M9" s="68" t="s">
        <v>39</v>
      </c>
      <c r="N9" s="64" t="s">
        <v>40</v>
      </c>
      <c r="O9" s="64" t="s">
        <v>41</v>
      </c>
      <c r="P9" s="64" t="s">
        <v>42</v>
      </c>
      <c r="Q9" s="64" t="s">
        <v>43</v>
      </c>
      <c r="R9" s="64" t="s">
        <v>44</v>
      </c>
      <c r="T9" s="65" t="s">
        <v>37</v>
      </c>
      <c r="U9" s="66" t="s">
        <v>38</v>
      </c>
      <c r="V9" s="68" t="s">
        <v>39</v>
      </c>
      <c r="W9" s="64" t="s">
        <v>40</v>
      </c>
      <c r="X9" s="64" t="s">
        <v>41</v>
      </c>
      <c r="Y9" s="64" t="s">
        <v>42</v>
      </c>
      <c r="Z9" s="64" t="s">
        <v>43</v>
      </c>
      <c r="AA9" s="64" t="s">
        <v>44</v>
      </c>
      <c r="AC9" s="65" t="s">
        <v>37</v>
      </c>
      <c r="AD9" s="66" t="s">
        <v>38</v>
      </c>
      <c r="AE9" s="68" t="s">
        <v>39</v>
      </c>
      <c r="AF9" s="64" t="s">
        <v>40</v>
      </c>
      <c r="AG9" s="64" t="s">
        <v>41</v>
      </c>
      <c r="AH9" s="64" t="s">
        <v>42</v>
      </c>
      <c r="AI9" s="64" t="s">
        <v>43</v>
      </c>
      <c r="AJ9" s="64" t="s">
        <v>44</v>
      </c>
    </row>
    <row r="10" spans="2:36" x14ac:dyDescent="0.25">
      <c r="B10" s="56" t="s">
        <v>45</v>
      </c>
      <c r="C10" s="69">
        <f>C11+C5</f>
        <v>1.25</v>
      </c>
      <c r="D10" s="76">
        <v>0.65</v>
      </c>
      <c r="E10" s="71">
        <f ca="1">SUMIFS(Purchases[Rcvd],Purchases[Category],B$2,Purchases[PP],Pricing_Sticker[[#This Row],[Pricing]])</f>
        <v>0</v>
      </c>
      <c r="F10" s="69">
        <f>IFERROR(Pricing_Sticker[[#This Row],[Cost (Min)]]/(1-Pricing_Sticker[[#This Row],[Target GM%]]),"-")</f>
        <v>3.5714285714285716</v>
      </c>
      <c r="G10" s="69" t="str">
        <f ca="1">IF(Pricing_Sticker[[#This Row],[Distribution]]=0,"-",SUMIFS(Purchases[Cost],Purchases[Category],B$2,Purchases[PP],Pricing_Sticker[[#This Row],[Pricing]])/Pricing_Sticker[[#This Row],[Distribution]])</f>
        <v>-</v>
      </c>
      <c r="H10" s="93" t="str">
        <f ca="1">IF(Pricing_Sticker[[#This Row],[Distribution]]=0,"-",SUMIFS(Purchases[Val.Retail$],Purchases[Category],B$2,Purchases[PP],Pricing_Sticker[[#This Row],[Pricing]])/Pricing_Sticker[[#This Row],[Distribution]])</f>
        <v>-</v>
      </c>
      <c r="I10" s="10" t="str">
        <f ca="1">IFERROR(1-Pricing_Sticker[[#This Row],[Avg.Cost]]/Pricing_Sticker[[#This Row],[Avg.Retail]],"-")</f>
        <v>-</v>
      </c>
      <c r="K10" s="56" t="s">
        <v>45</v>
      </c>
      <c r="L10" s="69" t="e">
        <f>L11+L5/4</f>
        <v>#DIV/0!</v>
      </c>
      <c r="M10" s="76">
        <v>0.5</v>
      </c>
      <c r="N10" s="71">
        <f>SUMIFS(Purchases[Rcvd],Purchases[Category],K$2,Purchases[PP],Pricing_Pen[[#This Row],[Pricing]])</f>
        <v>0</v>
      </c>
      <c r="O10" s="69" t="str">
        <f>IFERROR(Pricing_Pen[[#This Row],[Cost (Min)]]/(1-Pricing_Pen[[#This Row],[Target GM%]]),"-")</f>
        <v>-</v>
      </c>
      <c r="P10" s="69" t="str">
        <f>IF(Pricing_Pen[[#This Row],[Distribution]]=0,"-",SUMIFS(Purchases[Cost],Purchases[Category],K$2,Purchases[PP],Pricing_Pen[[#This Row],[Pricing]])/Pricing_Pen[[#This Row],[Distribution]])</f>
        <v>-</v>
      </c>
      <c r="Q10" s="93" t="str">
        <f>IF(Pricing_Pen[[#This Row],[Distribution]]=0,"-",SUMIFS(Purchases[Val.Retail$],Purchases[Category],K$2,Purchases[PP],Pricing_Pen[[#This Row],[Pricing]])/Pricing_Pen[[#This Row],[Distribution]])</f>
        <v>-</v>
      </c>
      <c r="R10" s="10" t="str">
        <f>IFERROR(1-Pricing_Pen[[#This Row],[Avg.Cost]]/Pricing_Pen[[#This Row],[Avg.Retail]],"-")</f>
        <v>-</v>
      </c>
      <c r="T10" s="56" t="s">
        <v>45</v>
      </c>
      <c r="U10" s="69">
        <f>U11+U5/2</f>
        <v>0</v>
      </c>
      <c r="V10" s="76">
        <v>0.3</v>
      </c>
      <c r="W10" s="71">
        <f>SUMIFS(Purchases[Rcvd],Purchases[Category],T$2,Purchases[PP],Pricing_Drinkware[[#This Row],[Pricing]])</f>
        <v>0</v>
      </c>
      <c r="X10" s="69">
        <f>IFERROR(Pricing_Drinkware[[#This Row],[Cost (Min)]]/(1-Pricing_Drinkware[[#This Row],[Target GM%]]),"-")</f>
        <v>0</v>
      </c>
      <c r="Y10" s="69" t="str">
        <f>IF(Pricing_Drinkware[[#This Row],[Distribution]]=0,"-",SUMIFS(Purchases[Cost],Purchases[Category],T$2,Purchases[PP],Pricing_Drinkware[[#This Row],[Pricing]])/Pricing_Drinkware[[#This Row],[Distribution]])</f>
        <v>-</v>
      </c>
      <c r="Z10" s="93" t="str">
        <f>IF(Pricing_Drinkware[[#This Row],[Distribution]]=0,"-",SUMIFS(Purchases[Val.Retail$],Purchases[Category],T$2,Purchases[PP],Pricing_Drinkware[[#This Row],[Pricing]])/Pricing_Drinkware[[#This Row],[Distribution]])</f>
        <v>-</v>
      </c>
      <c r="AA10" s="10" t="str">
        <f>IFERROR(1-Pricing_Drinkware[[#This Row],[Avg.Cost]]/Pricing_Drinkware[[#This Row],[Avg.Retail]],"-")</f>
        <v>-</v>
      </c>
      <c r="AC10" s="56" t="s">
        <v>45</v>
      </c>
      <c r="AD10" s="69">
        <f>AD11+AD5/2</f>
        <v>0</v>
      </c>
      <c r="AE10" s="76">
        <v>0.5</v>
      </c>
      <c r="AF10" s="71">
        <f>SUMIFS(Purchases[Rcvd],Purchases[Category],AC$2,Purchases[PP],Pricing_TShirt[[#This Row],[Pricing]])</f>
        <v>0</v>
      </c>
      <c r="AG10" s="69">
        <f>IFERROR(Pricing_TShirt[[#This Row],[Cost (Min)]]/(1-Pricing_TShirt[[#This Row],[Target GM%]]),"-")</f>
        <v>0</v>
      </c>
      <c r="AH10" s="69" t="str">
        <f>IF(Pricing_TShirt[[#This Row],[Distribution]]=0,"-",SUMIFS(Purchases[Cost],Purchases[Category],AC$2,Purchases[PP],Pricing_TShirt[[#This Row],[Pricing]])/Pricing_TShirt[[#This Row],[Distribution]])</f>
        <v>-</v>
      </c>
      <c r="AI10" s="93" t="str">
        <f>IF(Pricing_TShirt[[#This Row],[Distribution]]=0,"-",SUMIFS(Purchases[Val.Retail$],Purchases[Category],AC$2,Purchases[PP],Pricing_TShirt[[#This Row],[Pricing]])/Pricing_TShirt[[#This Row],[Distribution]])</f>
        <v>-</v>
      </c>
      <c r="AJ10" s="10" t="str">
        <f>IFERROR(1-Pricing_TShirt[[#This Row],[Avg.Cost]]/Pricing_TShirt[[#This Row],[Avg.Retail]],"-")</f>
        <v>-</v>
      </c>
    </row>
    <row r="11" spans="2:36" x14ac:dyDescent="0.25">
      <c r="B11" s="56" t="s">
        <v>46</v>
      </c>
      <c r="C11" s="69">
        <f>C12+C5</f>
        <v>0.75</v>
      </c>
      <c r="D11" s="76">
        <v>0.65</v>
      </c>
      <c r="E11" s="71">
        <f ca="1">SUMIFS(Purchases[Rcvd],Purchases[Category],B$2,Purchases[PP],Pricing_Sticker[[#This Row],[Pricing]])</f>
        <v>0</v>
      </c>
      <c r="F11" s="69">
        <f>IFERROR(Pricing_Sticker[[#This Row],[Cost (Min)]]/(1-Pricing_Sticker[[#This Row],[Target GM%]]),"-")</f>
        <v>2.1428571428571428</v>
      </c>
      <c r="G11" s="69" t="str">
        <f ca="1">IF(Pricing_Sticker[[#This Row],[Distribution]]=0,"-",SUMIFS(Purchases[Cost],Purchases[Category],B$2,Purchases[PP],Pricing_Sticker[[#This Row],[Pricing]])/Pricing_Sticker[[#This Row],[Distribution]])</f>
        <v>-</v>
      </c>
      <c r="H11" s="93" t="str">
        <f ca="1">IF(Pricing_Sticker[[#This Row],[Distribution]]=0,"-",SUMIFS(Purchases[Val.Retail$],Purchases[Category],B$2,Purchases[PP],Pricing_Sticker[[#This Row],[Pricing]])/Pricing_Sticker[[#This Row],[Distribution]])</f>
        <v>-</v>
      </c>
      <c r="I11" s="10" t="str">
        <f ca="1">IFERROR(1-Pricing_Sticker[[#This Row],[Avg.Cost]]/Pricing_Sticker[[#This Row],[Avg.Retail]],"-")</f>
        <v>-</v>
      </c>
      <c r="K11" s="56" t="s">
        <v>46</v>
      </c>
      <c r="L11" s="69" t="e">
        <f>L12+L5/4</f>
        <v>#DIV/0!</v>
      </c>
      <c r="M11" s="76">
        <v>0.55000000000000004</v>
      </c>
      <c r="N11" s="71">
        <f>SUMIFS(Purchases[Rcvd],Purchases[Category],K$2,Purchases[PP],Pricing_Pen[[#This Row],[Pricing]])</f>
        <v>0</v>
      </c>
      <c r="O11" s="69" t="str">
        <f>IFERROR(Pricing_Pen[[#This Row],[Cost (Min)]]/(1-Pricing_Pen[[#This Row],[Target GM%]]),"-")</f>
        <v>-</v>
      </c>
      <c r="P11" s="69" t="str">
        <f>IF(Pricing_Pen[[#This Row],[Distribution]]=0,"-",SUMIFS(Purchases[Cost],Purchases[Category],K$2,Purchases[PP],Pricing_Pen[[#This Row],[Pricing]])/Pricing_Pen[[#This Row],[Distribution]])</f>
        <v>-</v>
      </c>
      <c r="Q11" s="93" t="str">
        <f>IF(Pricing_Pen[[#This Row],[Distribution]]=0,"-",SUMIFS(Purchases[Val.Retail$],Purchases[Category],K$2,Purchases[PP],Pricing_Pen[[#This Row],[Pricing]])/Pricing_Pen[[#This Row],[Distribution]])</f>
        <v>-</v>
      </c>
      <c r="R11" s="10" t="str">
        <f>IFERROR(1-Pricing_Pen[[#This Row],[Avg.Cost]]/Pricing_Pen[[#This Row],[Avg.Retail]],"-")</f>
        <v>-</v>
      </c>
      <c r="T11" s="56" t="s">
        <v>46</v>
      </c>
      <c r="U11" s="69">
        <f>U12+U5/2</f>
        <v>0</v>
      </c>
      <c r="V11" s="76">
        <v>0.45</v>
      </c>
      <c r="W11" s="71">
        <f>SUMIFS(Purchases[Rcvd],Purchases[Category],T$2,Purchases[PP],Pricing_Drinkware[[#This Row],[Pricing]])</f>
        <v>0</v>
      </c>
      <c r="X11" s="69">
        <f>IFERROR(Pricing_Drinkware[[#This Row],[Cost (Min)]]/(1-Pricing_Drinkware[[#This Row],[Target GM%]]),"-")</f>
        <v>0</v>
      </c>
      <c r="Y11" s="69" t="str">
        <f>IF(Pricing_Drinkware[[#This Row],[Distribution]]=0,"-",SUMIFS(Purchases[Cost],Purchases[Category],T$2,Purchases[PP],Pricing_Drinkware[[#This Row],[Pricing]])/Pricing_Drinkware[[#This Row],[Distribution]])</f>
        <v>-</v>
      </c>
      <c r="Z11" s="93" t="str">
        <f>IF(Pricing_Drinkware[[#This Row],[Distribution]]=0,"-",SUMIFS(Purchases[Val.Retail$],Purchases[Category],T$2,Purchases[PP],Pricing_Drinkware[[#This Row],[Pricing]])/Pricing_Drinkware[[#This Row],[Distribution]])</f>
        <v>-</v>
      </c>
      <c r="AA11" s="10" t="str">
        <f>IFERROR(1-Pricing_Drinkware[[#This Row],[Avg.Cost]]/Pricing_Drinkware[[#This Row],[Avg.Retail]],"-")</f>
        <v>-</v>
      </c>
      <c r="AC11" s="56" t="s">
        <v>46</v>
      </c>
      <c r="AD11" s="69">
        <f>AD12+AD5/2</f>
        <v>0</v>
      </c>
      <c r="AE11" s="76">
        <v>0.55000000000000004</v>
      </c>
      <c r="AF11" s="71">
        <f>SUMIFS(Purchases[Rcvd],Purchases[Category],AC$2,Purchases[PP],Pricing_TShirt[[#This Row],[Pricing]])</f>
        <v>0</v>
      </c>
      <c r="AG11" s="69">
        <f>IFERROR(Pricing_TShirt[[#This Row],[Cost (Min)]]/(1-Pricing_TShirt[[#This Row],[Target GM%]]),"-")</f>
        <v>0</v>
      </c>
      <c r="AH11" s="69" t="str">
        <f>IF(Pricing_TShirt[[#This Row],[Distribution]]=0,"-",SUMIFS(Purchases[Cost],Purchases[Category],AC$2,Purchases[PP],Pricing_TShirt[[#This Row],[Pricing]])/Pricing_TShirt[[#This Row],[Distribution]])</f>
        <v>-</v>
      </c>
      <c r="AI11" s="93" t="str">
        <f>IF(Pricing_TShirt[[#This Row],[Distribution]]=0,"-",SUMIFS(Purchases[Val.Retail$],Purchases[Category],AC$2,Purchases[PP],Pricing_TShirt[[#This Row],[Pricing]])/Pricing_TShirt[[#This Row],[Distribution]])</f>
        <v>-</v>
      </c>
      <c r="AJ11" s="10" t="str">
        <f>IFERROR(1-Pricing_TShirt[[#This Row],[Avg.Cost]]/Pricing_TShirt[[#This Row],[Avg.Retail]],"-")</f>
        <v>-</v>
      </c>
    </row>
    <row r="12" spans="2:36" x14ac:dyDescent="0.25">
      <c r="B12" s="67" t="s">
        <v>47</v>
      </c>
      <c r="C12" s="70">
        <f>C4-C5/2</f>
        <v>0.25</v>
      </c>
      <c r="D12" s="77">
        <v>0.65</v>
      </c>
      <c r="E12" s="72">
        <f ca="1">SUMIFS(Purchases[Rcvd],Purchases[Category],B$2,Purchases[PP],Pricing_Sticker[[#This Row],[Pricing]])</f>
        <v>100</v>
      </c>
      <c r="F12" s="70">
        <f>IFERROR(Pricing_Sticker[[#This Row],[Cost (Min)]]/(1-Pricing_Sticker[[#This Row],[Target GM%]]),"-")</f>
        <v>0.7142857142857143</v>
      </c>
      <c r="G12" s="70">
        <f ca="1">IF(Pricing_Sticker[[#This Row],[Distribution]]=0,"-",SUMIFS(Purchases[Cost],Purchases[Category],B$2,Purchases[PP],Pricing_Sticker[[#This Row],[Pricing]])/Pricing_Sticker[[#This Row],[Distribution]])</f>
        <v>0.5</v>
      </c>
      <c r="H12" s="94">
        <f ca="1">IF(Pricing_Sticker[[#This Row],[Distribution]]=0,"-",SUMIFS(Purchases[Val.Retail$],Purchases[Category],B$2,Purchases[PP],Pricing_Sticker[[#This Row],[Pricing]])/Pricing_Sticker[[#This Row],[Distribution]])</f>
        <v>1.49</v>
      </c>
      <c r="I12" s="87">
        <f ca="1">IFERROR(1-Pricing_Sticker[[#This Row],[Avg.Cost]]/Pricing_Sticker[[#This Row],[Avg.Retail]],"-")</f>
        <v>0.66442953020134232</v>
      </c>
      <c r="K12" s="67" t="s">
        <v>47</v>
      </c>
      <c r="L12" s="70" t="e">
        <f>L4-L5/4</f>
        <v>#DIV/0!</v>
      </c>
      <c r="M12" s="77">
        <v>0.6</v>
      </c>
      <c r="N12" s="72">
        <f>SUMIFS(Purchases[Rcvd],Purchases[Category],K$2,Purchases[PP],Pricing_Pen[[#This Row],[Pricing]])</f>
        <v>0</v>
      </c>
      <c r="O12" s="70" t="str">
        <f>IFERROR(Pricing_Pen[[#This Row],[Cost (Min)]]/(1-Pricing_Pen[[#This Row],[Target GM%]]),"-")</f>
        <v>-</v>
      </c>
      <c r="P12" s="70" t="str">
        <f>IF(Pricing_Pen[[#This Row],[Distribution]]=0,"-",SUMIFS(Purchases[Cost],Purchases[Category],K$2,Purchases[PP],Pricing_Pen[[#This Row],[Pricing]])/Pricing_Pen[[#This Row],[Distribution]])</f>
        <v>-</v>
      </c>
      <c r="Q12" s="94" t="str">
        <f>IF(Pricing_Pen[[#This Row],[Distribution]]=0,"-",SUMIFS(Purchases[Val.Retail$],Purchases[Category],K$2,Purchases[PP],Pricing_Pen[[#This Row],[Pricing]])/Pricing_Pen[[#This Row],[Distribution]])</f>
        <v>-</v>
      </c>
      <c r="R12" s="87" t="str">
        <f>IFERROR(1-Pricing_Pen[[#This Row],[Avg.Cost]]/Pricing_Pen[[#This Row],[Avg.Retail]],"-")</f>
        <v>-</v>
      </c>
      <c r="T12" s="67" t="s">
        <v>47</v>
      </c>
      <c r="U12" s="70">
        <f>U6-U6/2</f>
        <v>0</v>
      </c>
      <c r="V12" s="77">
        <v>0.55000000000000004</v>
      </c>
      <c r="W12" s="72">
        <f>SUMIFS(Purchases[Rcvd],Purchases[Category],T$2,Purchases[PP],Pricing_Drinkware[[#This Row],[Pricing]])</f>
        <v>0</v>
      </c>
      <c r="X12" s="70">
        <f>IFERROR(Pricing_Drinkware[[#This Row],[Cost (Min)]]/(1-Pricing_Drinkware[[#This Row],[Target GM%]]),"-")</f>
        <v>0</v>
      </c>
      <c r="Y12" s="70" t="str">
        <f>IF(Pricing_Drinkware[[#This Row],[Distribution]]=0,"-",SUMIFS(Purchases[Cost],Purchases[Category],T$2,Purchases[PP],Pricing_Drinkware[[#This Row],[Pricing]])/Pricing_Drinkware[[#This Row],[Distribution]])</f>
        <v>-</v>
      </c>
      <c r="Z12" s="94" t="str">
        <f>IF(Pricing_Drinkware[[#This Row],[Distribution]]=0,"-",SUMIFS(Purchases[Val.Retail$],Purchases[Category],T$2,Purchases[PP],Pricing_Drinkware[[#This Row],[Pricing]])/Pricing_Drinkware[[#This Row],[Distribution]])</f>
        <v>-</v>
      </c>
      <c r="AA12" s="87" t="str">
        <f>IFERROR(1-Pricing_Drinkware[[#This Row],[Avg.Cost]]/Pricing_Drinkware[[#This Row],[Avg.Retail]],"-")</f>
        <v>-</v>
      </c>
      <c r="AC12" s="67" t="s">
        <v>47</v>
      </c>
      <c r="AD12" s="70">
        <f>AD6-AD6/2</f>
        <v>0</v>
      </c>
      <c r="AE12" s="77">
        <v>0.6</v>
      </c>
      <c r="AF12" s="72">
        <f>SUMIFS(Purchases[Rcvd],Purchases[Category],AC$2,Purchases[PP],Pricing_TShirt[[#This Row],[Pricing]])</f>
        <v>0</v>
      </c>
      <c r="AG12" s="70">
        <f>IFERROR(Pricing_TShirt[[#This Row],[Cost (Min)]]/(1-Pricing_TShirt[[#This Row],[Target GM%]]),"-")</f>
        <v>0</v>
      </c>
      <c r="AH12" s="70" t="str">
        <f>IF(Pricing_TShirt[[#This Row],[Distribution]]=0,"-",SUMIFS(Purchases[Cost],Purchases[Category],AC$2,Purchases[PP],Pricing_TShirt[[#This Row],[Pricing]])/Pricing_TShirt[[#This Row],[Distribution]])</f>
        <v>-</v>
      </c>
      <c r="AI12" s="94" t="str">
        <f>IF(Pricing_TShirt[[#This Row],[Distribution]]=0,"-",SUMIFS(Purchases[Val.Retail$],Purchases[Category],AC$2,Purchases[PP],Pricing_TShirt[[#This Row],[Pricing]])/Pricing_TShirt[[#This Row],[Distribution]])</f>
        <v>-</v>
      </c>
      <c r="AJ12" s="87" t="str">
        <f>IFERROR(1-Pricing_TShirt[[#This Row],[Avg.Cost]]/Pricing_TShirt[[#This Row],[Avg.Retail]],"-")</f>
        <v>-</v>
      </c>
    </row>
    <row r="13" spans="2:36" x14ac:dyDescent="0.25">
      <c r="B13" s="56" t="s">
        <v>48</v>
      </c>
      <c r="C13" s="69">
        <f>C12-C5</f>
        <v>-0.25</v>
      </c>
      <c r="D13" s="76">
        <v>0.75</v>
      </c>
      <c r="E13" s="71">
        <f ca="1">SUMIFS(Purchases[Rcvd],Purchases[Category],B$2,Purchases[PP],Pricing_Sticker[[#This Row],[Pricing]])</f>
        <v>0</v>
      </c>
      <c r="F13" s="69">
        <f>IFERROR(Pricing_Sticker[[#This Row],[Cost (Min)]]/(1-Pricing_Sticker[[#This Row],[Target GM%]]),"-")</f>
        <v>-1</v>
      </c>
      <c r="G13" s="69" t="str">
        <f ca="1">IF(Pricing_Sticker[[#This Row],[Distribution]]=0,"-",SUMIFS(Purchases[Cost],Purchases[Category],B$2,Purchases[PP],Pricing_Sticker[[#This Row],[Pricing]])/Pricing_Sticker[[#This Row],[Distribution]])</f>
        <v>-</v>
      </c>
      <c r="H13" s="93" t="str">
        <f ca="1">IF(Pricing_Sticker[[#This Row],[Distribution]]=0,"-",SUMIFS(Purchases[Val.Retail$],Purchases[Category],B$2,Purchases[PP],Pricing_Sticker[[#This Row],[Pricing]])/Pricing_Sticker[[#This Row],[Distribution]])</f>
        <v>-</v>
      </c>
      <c r="I13" s="10" t="str">
        <f ca="1">IFERROR(1-Pricing_Sticker[[#This Row],[Avg.Cost]]/Pricing_Sticker[[#This Row],[Avg.Retail]],"-")</f>
        <v>-</v>
      </c>
      <c r="K13" s="56" t="s">
        <v>48</v>
      </c>
      <c r="L13" s="69" t="e">
        <f>L12-L5/4</f>
        <v>#DIV/0!</v>
      </c>
      <c r="M13" s="76">
        <v>0.65</v>
      </c>
      <c r="N13" s="71">
        <f>SUMIFS(Purchases[Rcvd],Purchases[Category],K$2,Purchases[PP],Pricing_Pen[[#This Row],[Pricing]])</f>
        <v>0</v>
      </c>
      <c r="O13" s="69" t="str">
        <f>IFERROR(Pricing_Pen[[#This Row],[Cost (Min)]]/(1-Pricing_Pen[[#This Row],[Target GM%]]),"-")</f>
        <v>-</v>
      </c>
      <c r="P13" s="69" t="str">
        <f>IF(Pricing_Pen[[#This Row],[Distribution]]=0,"-",SUMIFS(Purchases[Cost],Purchases[Category],K$2,Purchases[PP],Pricing_Pen[[#This Row],[Pricing]])/Pricing_Pen[[#This Row],[Distribution]])</f>
        <v>-</v>
      </c>
      <c r="Q13" s="93" t="str">
        <f>IF(Pricing_Pen[[#This Row],[Distribution]]=0,"-",SUMIFS(Purchases[Val.Retail$],Purchases[Category],K$2,Purchases[PP],Pricing_Pen[[#This Row],[Pricing]])/Pricing_Pen[[#This Row],[Distribution]])</f>
        <v>-</v>
      </c>
      <c r="R13" s="10" t="str">
        <f>IFERROR(1-Pricing_Pen[[#This Row],[Avg.Cost]]/Pricing_Pen[[#This Row],[Avg.Retail]],"-")</f>
        <v>-</v>
      </c>
      <c r="T13" s="56" t="s">
        <v>48</v>
      </c>
      <c r="U13" s="69">
        <f>U12-U5/2</f>
        <v>0</v>
      </c>
      <c r="V13" s="76">
        <v>0.65</v>
      </c>
      <c r="W13" s="71">
        <f>SUMIFS(Purchases[Rcvd],Purchases[Category],T$2,Purchases[PP],Pricing_Drinkware[[#This Row],[Pricing]])</f>
        <v>0</v>
      </c>
      <c r="X13" s="69">
        <f>IFERROR(Pricing_Drinkware[[#This Row],[Cost (Min)]]/(1-Pricing_Drinkware[[#This Row],[Target GM%]]),"-")</f>
        <v>0</v>
      </c>
      <c r="Y13" s="69" t="str">
        <f>IF(Pricing_Drinkware[[#This Row],[Distribution]]=0,"-",SUMIFS(Purchases[Cost],Purchases[Category],T$2,Purchases[PP],Pricing_Drinkware[[#This Row],[Pricing]])/Pricing_Drinkware[[#This Row],[Distribution]])</f>
        <v>-</v>
      </c>
      <c r="Z13" s="93" t="str">
        <f>IF(Pricing_Drinkware[[#This Row],[Distribution]]=0,"-",SUMIFS(Purchases[Val.Retail$],Purchases[Category],T$2,Purchases[PP],Pricing_Drinkware[[#This Row],[Pricing]])/Pricing_Drinkware[[#This Row],[Distribution]])</f>
        <v>-</v>
      </c>
      <c r="AA13" s="10" t="str">
        <f>IFERROR(1-Pricing_Drinkware[[#This Row],[Avg.Cost]]/Pricing_Drinkware[[#This Row],[Avg.Retail]],"-")</f>
        <v>-</v>
      </c>
      <c r="AC13" s="56" t="s">
        <v>48</v>
      </c>
      <c r="AD13" s="69">
        <f>AD12-AD5/2</f>
        <v>0</v>
      </c>
      <c r="AE13" s="76">
        <v>0.65</v>
      </c>
      <c r="AF13" s="71">
        <f>SUMIFS(Purchases[Rcvd],Purchases[Category],AC$2,Purchases[PP],Pricing_TShirt[[#This Row],[Pricing]])</f>
        <v>0</v>
      </c>
      <c r="AG13" s="69">
        <f>IFERROR(Pricing_TShirt[[#This Row],[Cost (Min)]]/(1-Pricing_TShirt[[#This Row],[Target GM%]]),"-")</f>
        <v>0</v>
      </c>
      <c r="AH13" s="69" t="str">
        <f>IF(Pricing_TShirt[[#This Row],[Distribution]]=0,"-",SUMIFS(Purchases[Cost],Purchases[Category],AC$2,Purchases[PP],Pricing_TShirt[[#This Row],[Pricing]])/Pricing_TShirt[[#This Row],[Distribution]])</f>
        <v>-</v>
      </c>
      <c r="AI13" s="93" t="str">
        <f>IF(Pricing_TShirt[[#This Row],[Distribution]]=0,"-",SUMIFS(Purchases[Val.Retail$],Purchases[Category],AC$2,Purchases[PP],Pricing_TShirt[[#This Row],[Pricing]])/Pricing_TShirt[[#This Row],[Distribution]])</f>
        <v>-</v>
      </c>
      <c r="AJ13" s="10" t="str">
        <f>IFERROR(1-Pricing_TShirt[[#This Row],[Avg.Cost]]/Pricing_TShirt[[#This Row],[Avg.Retail]],"-")</f>
        <v>-</v>
      </c>
    </row>
    <row r="14" spans="2:36" x14ac:dyDescent="0.25">
      <c r="B14" s="56" t="s">
        <v>49</v>
      </c>
      <c r="C14" s="69">
        <v>1E-3</v>
      </c>
      <c r="D14" s="88">
        <v>0.8</v>
      </c>
      <c r="E14" s="71">
        <f ca="1">SUMIFS(Purchases[Rcvd],Purchases[Category],B$2,Purchases[PP],Pricing_Sticker[[#This Row],[Pricing]])</f>
        <v>0</v>
      </c>
      <c r="F14" s="69"/>
      <c r="G14" s="69" t="str">
        <f ca="1">IF(Pricing_Sticker[[#This Row],[Distribution]]=0,"-",SUMIFS(Purchases[Cost],Purchases[Category],B$2,Purchases[PP],Pricing_Sticker[[#This Row],[Pricing]])/Pricing_Sticker[[#This Row],[Distribution]])</f>
        <v>-</v>
      </c>
      <c r="H14" s="95" t="str">
        <f ca="1">IF(Pricing_Sticker[[#This Row],[Distribution]]=0,"-",SUMIFS(Purchases[Val.Retail$],Purchases[Category],B$2,Purchases[PP],Pricing_Sticker[[#This Row],[Pricing]])/Pricing_Sticker[[#This Row],[Distribution]])</f>
        <v>-</v>
      </c>
      <c r="I14" s="37" t="str">
        <f ca="1">IFERROR(1-Pricing_Sticker[[#This Row],[Avg.Cost]]/Pricing_Sticker[[#This Row],[Avg.Retail]],"-")</f>
        <v>-</v>
      </c>
      <c r="K14" s="56" t="s">
        <v>49</v>
      </c>
      <c r="L14" s="69">
        <v>1E-3</v>
      </c>
      <c r="M14" s="88">
        <v>0.7</v>
      </c>
      <c r="N14" s="71">
        <f>SUMIFS(Purchases[Rcvd],Purchases[Category],K$2,Purchases[PP],Pricing_Pen[[#This Row],[Pricing]])</f>
        <v>0</v>
      </c>
      <c r="O14" s="69"/>
      <c r="P14" s="69" t="str">
        <f>IF(Pricing_Pen[[#This Row],[Distribution]]=0,"-",SUMIFS(Purchases[Cost],Purchases[Category],K$2,Purchases[PP],Pricing_Pen[[#This Row],[Pricing]])/Pricing_Pen[[#This Row],[Distribution]])</f>
        <v>-</v>
      </c>
      <c r="Q14" s="95" t="str">
        <f>IF(Pricing_Pen[[#This Row],[Distribution]]=0,"-",SUMIFS(Purchases[Val.Retail$],Purchases[Category],K$2,Purchases[PP],Pricing_Pen[[#This Row],[Pricing]])/Pricing_Pen[[#This Row],[Distribution]])</f>
        <v>-</v>
      </c>
      <c r="R14" s="37" t="str">
        <f>IFERROR(1-Pricing_Pen[[#This Row],[Avg.Cost]]/Pricing_Pen[[#This Row],[Avg.Retail]],"-")</f>
        <v>-</v>
      </c>
      <c r="T14" s="56" t="s">
        <v>49</v>
      </c>
      <c r="U14" s="69">
        <v>1E-3</v>
      </c>
      <c r="V14" s="88">
        <v>0.7</v>
      </c>
      <c r="W14" s="71">
        <f>SUMIFS(Purchases[Rcvd],Purchases[Category],T$2,Purchases[PP],Pricing_Drinkware[[#This Row],[Pricing]])</f>
        <v>0</v>
      </c>
      <c r="X14" s="69"/>
      <c r="Y14" s="69" t="str">
        <f>IF(Pricing_Drinkware[[#This Row],[Distribution]]=0,"-",SUMIFS(Purchases[Cost],Purchases[Category],T$2,Purchases[PP],Pricing_Drinkware[[#This Row],[Pricing]])/Pricing_Drinkware[[#This Row],[Distribution]])</f>
        <v>-</v>
      </c>
      <c r="Z14" s="95" t="str">
        <f>IF(Pricing_Drinkware[[#This Row],[Distribution]]=0,"-",SUMIFS(Purchases[Val.Retail$],Purchases[Category],T$2,Purchases[PP],Pricing_Drinkware[[#This Row],[Pricing]])/Pricing_Drinkware[[#This Row],[Distribution]])</f>
        <v>-</v>
      </c>
      <c r="AA14" s="37" t="str">
        <f>IFERROR(1-Pricing_Drinkware[[#This Row],[Avg.Cost]]/Pricing_Drinkware[[#This Row],[Avg.Retail]],"-")</f>
        <v>-</v>
      </c>
      <c r="AC14" s="56" t="s">
        <v>49</v>
      </c>
      <c r="AD14" s="69">
        <v>1E-3</v>
      </c>
      <c r="AE14" s="88">
        <v>0.7</v>
      </c>
      <c r="AF14" s="71">
        <f>SUMIFS(Purchases[Rcvd],Purchases[Category],AC$2,Purchases[PP],Pricing_TShirt[[#This Row],[Pricing]])</f>
        <v>0</v>
      </c>
      <c r="AG14" s="69"/>
      <c r="AH14" s="69" t="str">
        <f>IF(Pricing_TShirt[[#This Row],[Distribution]]=0,"-",SUMIFS(Purchases[Cost],Purchases[Category],AC$2,Purchases[PP],Pricing_TShirt[[#This Row],[Pricing]])/Pricing_TShirt[[#This Row],[Distribution]])</f>
        <v>-</v>
      </c>
      <c r="AI14" s="95" t="str">
        <f>IF(Pricing_TShirt[[#This Row],[Distribution]]=0,"-",SUMIFS(Purchases[Val.Retail$],Purchases[Category],AC$2,Purchases[PP],Pricing_TShirt[[#This Row],[Pricing]])/Pricing_TShirt[[#This Row],[Distribution]])</f>
        <v>-</v>
      </c>
      <c r="AJ14" s="37" t="str">
        <f>IFERROR(1-Pricing_TShirt[[#This Row],[Avg.Cost]]/Pricing_TShirt[[#This Row],[Avg.Retail]],"-")</f>
        <v>-</v>
      </c>
    </row>
    <row r="15" spans="2:36" x14ac:dyDescent="0.25">
      <c r="B15" s="89" t="s">
        <v>50</v>
      </c>
      <c r="C15" s="90">
        <v>0</v>
      </c>
      <c r="D15" s="91" t="s">
        <v>51</v>
      </c>
      <c r="E15" s="86">
        <f ca="1">SUMIFS(Purchases[Rcvd],Purchases[Category],B$2,Purchases[PP],Pricing_Sticker[[#This Row],[Pricing]])</f>
        <v>0</v>
      </c>
      <c r="F15" s="90" t="str">
        <f>IFERROR(Pricing_Sticker[[#This Row],[Cost (Min)]]/(1-Pricing_Sticker[[#This Row],[Target GM%]]),"-")</f>
        <v>-</v>
      </c>
      <c r="G15" s="90" t="str">
        <f ca="1">IF(Pricing_Sticker[[#This Row],[Distribution]]=0,"-",SUMIFS(Purchases[Cost],Purchases[Category],B$2,Purchases[PP],Pricing_Sticker[[#This Row],[Pricing]])/Pricing_Sticker[[#This Row],[Distribution]])</f>
        <v>-</v>
      </c>
      <c r="H15" s="96" t="str">
        <f ca="1">IF(Pricing_Sticker[[#This Row],[Distribution]]=0,"-",SUMIFS(Purchases[Val.Retail$],Purchases[Category],B$2,Purchases[PP],Pricing_Sticker[[#This Row],[Pricing]])/Pricing_Sticker[[#This Row],[Distribution]])</f>
        <v>-</v>
      </c>
      <c r="I15" s="92" t="str">
        <f ca="1">IFERROR(1-Pricing_Sticker[[#This Row],[Avg.Cost]]/Pricing_Sticker[[#This Row],[Avg.Retail]],"-")</f>
        <v>-</v>
      </c>
      <c r="K15" s="89" t="s">
        <v>50</v>
      </c>
      <c r="L15" s="90">
        <v>0</v>
      </c>
      <c r="M15" s="91" t="s">
        <v>51</v>
      </c>
      <c r="N15" s="86">
        <f>SUMIFS(Purchases[Rcvd],Purchases[Category],K$2,Purchases[PP],Pricing_Pen[[#This Row],[Pricing]])</f>
        <v>0</v>
      </c>
      <c r="O15" s="90" t="str">
        <f>IFERROR(Pricing_Pen[[#This Row],[Cost (Min)]]/(1-Pricing_Pen[[#This Row],[Target GM%]]),"-")</f>
        <v>-</v>
      </c>
      <c r="P15" s="90" t="str">
        <f>IF(Pricing_Pen[[#This Row],[Distribution]]=0,"-",SUMIFS(Purchases[Cost],Purchases[Category],K$2,Purchases[PP],Pricing_Pen[[#This Row],[Pricing]])/Pricing_Pen[[#This Row],[Distribution]])</f>
        <v>-</v>
      </c>
      <c r="Q15" s="96" t="str">
        <f>IF(Pricing_Pen[[#This Row],[Distribution]]=0,"-",SUMIFS(Purchases[Val.Retail$],Purchases[Category],K$2,Purchases[PP],Pricing_Pen[[#This Row],[Pricing]])/Pricing_Pen[[#This Row],[Distribution]])</f>
        <v>-</v>
      </c>
      <c r="R15" s="92" t="str">
        <f>IFERROR(1-Pricing_Pen[[#This Row],[Avg.Cost]]/Pricing_Pen[[#This Row],[Avg.Retail]],"-")</f>
        <v>-</v>
      </c>
      <c r="T15" s="89" t="s">
        <v>50</v>
      </c>
      <c r="U15" s="90">
        <v>0</v>
      </c>
      <c r="V15" s="91" t="s">
        <v>51</v>
      </c>
      <c r="W15" s="86">
        <f>SUMIFS(Purchases[Rcvd],Purchases[Category],T$2,Purchases[PP],Pricing_Drinkware[[#This Row],[Pricing]])</f>
        <v>0</v>
      </c>
      <c r="X15" s="90" t="str">
        <f>IFERROR(Pricing_Drinkware[[#This Row],[Cost (Min)]]/(1-Pricing_Drinkware[[#This Row],[Target GM%]]),"-")</f>
        <v>-</v>
      </c>
      <c r="Y15" s="90" t="str">
        <f>IF(Pricing_Drinkware[[#This Row],[Distribution]]=0,"-",SUMIFS(Purchases[Cost],Purchases[Category],T$2,Purchases[PP],Pricing_Drinkware[[#This Row],[Pricing]])/Pricing_Drinkware[[#This Row],[Distribution]])</f>
        <v>-</v>
      </c>
      <c r="Z15" s="96" t="str">
        <f>IF(Pricing_Drinkware[[#This Row],[Distribution]]=0,"-",SUMIFS(Purchases[Val.Retail$],Purchases[Category],T$2,Purchases[PP],Pricing_Drinkware[[#This Row],[Pricing]])/Pricing_Drinkware[[#This Row],[Distribution]])</f>
        <v>-</v>
      </c>
      <c r="AA15" s="92" t="str">
        <f>IFERROR(1-Pricing_Drinkware[[#This Row],[Avg.Cost]]/Pricing_Drinkware[[#This Row],[Avg.Retail]],"-")</f>
        <v>-</v>
      </c>
      <c r="AC15" s="89" t="s">
        <v>50</v>
      </c>
      <c r="AD15" s="90">
        <v>0</v>
      </c>
      <c r="AE15" s="91" t="s">
        <v>51</v>
      </c>
      <c r="AF15" s="86">
        <f>SUMIFS(Purchases[Rcvd],Purchases[Category],AC$2,Purchases[PP],Pricing_TShirt[[#This Row],[Pricing]])</f>
        <v>0</v>
      </c>
      <c r="AG15" s="90" t="str">
        <f>IFERROR(Pricing_TShirt[[#This Row],[Cost (Min)]]/(1-Pricing_TShirt[[#This Row],[Target GM%]]),"-")</f>
        <v>-</v>
      </c>
      <c r="AH15" s="90" t="str">
        <f>IF(Pricing_TShirt[[#This Row],[Distribution]]=0,"-",SUMIFS(Purchases[Cost],Purchases[Category],AC$2,Purchases[PP],Pricing_TShirt[[#This Row],[Pricing]])/Pricing_TShirt[[#This Row],[Distribution]])</f>
        <v>-</v>
      </c>
      <c r="AI15" s="96" t="str">
        <f>IF(Pricing_TShirt[[#This Row],[Distribution]]=0,"-",SUMIFS(Purchases[Val.Retail$],Purchases[Category],AC$2,Purchases[PP],Pricing_TShirt[[#This Row],[Pricing]])/Pricing_TShirt[[#This Row],[Distribution]])</f>
        <v>-</v>
      </c>
      <c r="AJ15" s="92" t="str">
        <f>IFERROR(1-Pricing_TShirt[[#This Row],[Avg.Cost]]/Pricing_TShirt[[#This Row],[Avg.Retail]],"-")</f>
        <v>-</v>
      </c>
    </row>
    <row r="16" spans="2:36" x14ac:dyDescent="0.25">
      <c r="B16" s="56" t="s">
        <v>6</v>
      </c>
      <c r="C16" s="56"/>
      <c r="D16" s="13"/>
      <c r="E16" s="23">
        <f ca="1">SUBTOTAL(109,Pricing_Sticker[Distribution])</f>
        <v>100</v>
      </c>
      <c r="H16" s="23"/>
      <c r="I16" s="85"/>
      <c r="K16" s="56" t="s">
        <v>6</v>
      </c>
      <c r="L16" s="56"/>
      <c r="M16" s="13"/>
      <c r="N16" s="13">
        <f>SUBTOTAL(109,Pricing_Pen[Distribution])</f>
        <v>0</v>
      </c>
      <c r="O16" s="58"/>
      <c r="T16" s="56" t="s">
        <v>6</v>
      </c>
      <c r="U16" s="56"/>
      <c r="V16" s="13"/>
      <c r="W16" s="13">
        <f>SUBTOTAL(109,Pricing_Drinkware[Distribution])</f>
        <v>0</v>
      </c>
      <c r="AC16" s="56" t="s">
        <v>6</v>
      </c>
      <c r="AD16" s="56"/>
      <c r="AE16" s="13"/>
      <c r="AF16" s="13">
        <f>SUBTOTAL(109,Pricing_TShirt[Distribution])</f>
        <v>0</v>
      </c>
    </row>
    <row r="18" spans="7:36" x14ac:dyDescent="0.25">
      <c r="G18" s="117">
        <f ca="1">SUMPRODUCT(Pricing_Sticker[Distribution],Pricing_Sticker[Avg.Cost])</f>
        <v>50</v>
      </c>
      <c r="H18" s="117">
        <f ca="1">SUMPRODUCT(Pricing_Sticker[Distribution],Pricing_Sticker[Avg.Retail])</f>
        <v>149</v>
      </c>
      <c r="I18" s="118">
        <f ca="1">1-G18/H18</f>
        <v>0.66442953020134232</v>
      </c>
      <c r="P18" s="117">
        <f>SUMPRODUCT(Pricing_Pen[Distribution],Pricing_Pen[Avg.Cost])</f>
        <v>0</v>
      </c>
      <c r="Q18" s="117">
        <f>SUMPRODUCT(Pricing_Pen[Distribution],Pricing_Pen[Avg.Retail])</f>
        <v>0</v>
      </c>
      <c r="R18" s="118" t="e">
        <f>1-P18/Q18</f>
        <v>#DIV/0!</v>
      </c>
      <c r="Y18" s="117">
        <f>SUMPRODUCT(Pricing_Drinkware[Distribution],Pricing_Drinkware[Avg.Cost])</f>
        <v>0</v>
      </c>
      <c r="Z18" s="117">
        <f>SUMPRODUCT(Pricing_Drinkware[Distribution],Pricing_Drinkware[Avg.Retail])</f>
        <v>0</v>
      </c>
      <c r="AA18" s="118" t="e">
        <f>1-Y18/Z18</f>
        <v>#DIV/0!</v>
      </c>
      <c r="AH18" s="117">
        <f>SUMPRODUCT(Pricing_TShirt[Distribution],Pricing_TShirt[Avg.Cost])</f>
        <v>0</v>
      </c>
      <c r="AI18" s="117">
        <f>SUMPRODUCT(Pricing_TShirt[Distribution],Pricing_TShirt[Avg.Retail])</f>
        <v>0</v>
      </c>
      <c r="AJ18" s="118" t="e">
        <f>1-AH18/AI18</f>
        <v>#DIV/0!</v>
      </c>
    </row>
    <row r="19" spans="7:36" x14ac:dyDescent="0.25">
      <c r="G19" s="117">
        <f ca="1">G18/Pricing_Sticker[[#Totals],[Distribution]]</f>
        <v>0.5</v>
      </c>
      <c r="H19" s="117">
        <f ca="1">H18/Pricing_Sticker[[#Totals],[Distribution]]</f>
        <v>1.49</v>
      </c>
      <c r="P19" s="117" t="e">
        <f>P18/Pricing_Pen[[#Totals],[Distribution]]</f>
        <v>#DIV/0!</v>
      </c>
      <c r="Q19" s="117" t="e">
        <f>Q18/Pricing_Pen[[#Totals],[Distribution]]</f>
        <v>#DIV/0!</v>
      </c>
      <c r="Y19" s="117" t="e">
        <f>Y18/Pricing_Drinkware[[#Totals],[Distribution]]</f>
        <v>#DIV/0!</v>
      </c>
      <c r="Z19" s="117" t="e">
        <f>Z18/Pricing_Drinkware[[#Totals],[Distribution]]</f>
        <v>#DIV/0!</v>
      </c>
      <c r="AH19" s="117" t="e">
        <f>AH18/Pricing_TShirt[[#Totals],[Distribution]]</f>
        <v>#DIV/0!</v>
      </c>
      <c r="AI19" s="117" t="e">
        <f>AI18/Pricing_TShirt[[#Totals],[Distribution]]</f>
        <v>#DIV/0!</v>
      </c>
    </row>
    <row r="20" spans="7:36" x14ac:dyDescent="0.25">
      <c r="U20" s="30"/>
      <c r="V20" s="30"/>
    </row>
    <row r="21" spans="7:36" x14ac:dyDescent="0.25">
      <c r="U21" s="117"/>
      <c r="V21" s="117"/>
    </row>
    <row r="22" spans="7:36" x14ac:dyDescent="0.25">
      <c r="U22" s="117"/>
      <c r="V22" s="117"/>
    </row>
  </sheetData>
  <phoneticPr fontId="18" alignment="center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4C48-3953-4BC0-91CE-F79095881AA2}">
  <sheetPr codeName="Sheet4"/>
  <dimension ref="A1:AE11"/>
  <sheetViews>
    <sheetView topLeftCell="E1" workbookViewId="0">
      <selection activeCell="E3" sqref="E3"/>
    </sheetView>
  </sheetViews>
  <sheetFormatPr defaultRowHeight="15" x14ac:dyDescent="0.25"/>
  <cols>
    <col min="1" max="1" width="6.140625" bestFit="1" customWidth="1"/>
    <col min="2" max="2" width="8.140625" bestFit="1" customWidth="1"/>
    <col min="3" max="3" width="13.28515625" bestFit="1" customWidth="1"/>
    <col min="4" max="4" width="47.140625" bestFit="1" customWidth="1"/>
    <col min="5" max="5" width="7.5703125" bestFit="1" customWidth="1"/>
    <col min="6" max="6" width="10.140625" bestFit="1" customWidth="1"/>
    <col min="7" max="7" width="13.5703125" bestFit="1" customWidth="1"/>
    <col min="8" max="8" width="12.85546875" customWidth="1"/>
    <col min="9" max="9" width="9.140625" style="4"/>
    <col min="10" max="10" width="28.7109375" style="4" customWidth="1"/>
    <col min="11" max="12" width="9.42578125" style="1" customWidth="1"/>
    <col min="13" max="14" width="8.5703125" style="1" customWidth="1"/>
    <col min="15" max="15" width="8.7109375" style="12" customWidth="1"/>
    <col min="16" max="16" width="9.42578125" style="12" customWidth="1"/>
    <col min="17" max="17" width="9.85546875" style="12" customWidth="1"/>
    <col min="18" max="18" width="19.85546875" style="23" customWidth="1"/>
    <col min="19" max="19" width="12.5703125" style="1" customWidth="1"/>
    <col min="20" max="20" width="10.28515625" style="1" customWidth="1"/>
    <col min="21" max="21" width="9.7109375" customWidth="1"/>
    <col min="22" max="22" width="11.42578125" style="1" customWidth="1"/>
    <col min="23" max="23" width="7.5703125" bestFit="1" customWidth="1"/>
    <col min="24" max="24" width="4.42578125" customWidth="1"/>
    <col min="25" max="25" width="11.42578125" bestFit="1" customWidth="1"/>
    <col min="28" max="28" width="9.140625" customWidth="1"/>
    <col min="29" max="29" width="7.5703125" bestFit="1" customWidth="1"/>
    <col min="30" max="30" width="9.85546875" bestFit="1" customWidth="1"/>
    <col min="31" max="31" width="10.5703125" bestFit="1" customWidth="1"/>
    <col min="32" max="32" width="9.42578125" bestFit="1" customWidth="1"/>
  </cols>
  <sheetData>
    <row r="1" spans="1:31" x14ac:dyDescent="0.25">
      <c r="A1" t="s">
        <v>52</v>
      </c>
      <c r="B1" t="s">
        <v>53</v>
      </c>
      <c r="C1" t="s">
        <v>3</v>
      </c>
      <c r="D1" t="s">
        <v>4</v>
      </c>
      <c r="E1" t="s">
        <v>148</v>
      </c>
      <c r="F1" t="s">
        <v>54</v>
      </c>
      <c r="G1" t="s">
        <v>55</v>
      </c>
      <c r="H1" s="13" t="s">
        <v>107</v>
      </c>
      <c r="I1" s="31" t="s">
        <v>126</v>
      </c>
      <c r="J1" s="4" t="s">
        <v>108</v>
      </c>
      <c r="K1" s="22" t="s">
        <v>56</v>
      </c>
      <c r="L1" s="22" t="s">
        <v>57</v>
      </c>
      <c r="M1" s="22" t="s">
        <v>58</v>
      </c>
      <c r="N1" s="22" t="s">
        <v>59</v>
      </c>
      <c r="O1" s="22" t="s">
        <v>60</v>
      </c>
      <c r="P1" s="22" t="s">
        <v>6</v>
      </c>
      <c r="Q1" s="22" t="s">
        <v>61</v>
      </c>
      <c r="R1" s="1" t="s">
        <v>62</v>
      </c>
      <c r="S1" s="12" t="s">
        <v>63</v>
      </c>
      <c r="T1" s="12" t="s">
        <v>64</v>
      </c>
      <c r="U1" s="12" t="s">
        <v>65</v>
      </c>
      <c r="V1" s="23" t="s">
        <v>66</v>
      </c>
      <c r="W1" s="22" t="s">
        <v>67</v>
      </c>
      <c r="X1" s="20" t="s">
        <v>131</v>
      </c>
      <c r="Y1" s="20" t="s">
        <v>68</v>
      </c>
      <c r="Z1" s="20" t="s">
        <v>69</v>
      </c>
      <c r="AA1" s="22" t="s">
        <v>70</v>
      </c>
      <c r="AB1" s="13" t="s">
        <v>71</v>
      </c>
      <c r="AC1" s="128" t="s">
        <v>129</v>
      </c>
      <c r="AD1" s="22" t="s">
        <v>72</v>
      </c>
      <c r="AE1" s="30" t="s">
        <v>130</v>
      </c>
    </row>
    <row r="2" spans="1:31" x14ac:dyDescent="0.25">
      <c r="A2" t="str">
        <f>_xlfn.XLOOKUP(Purchases[[#This Row],[Category]],Categories[Name],Categories[Code])&amp; _xlfn.XLOOKUP(Purchases[[#This Row],[Vendor]],Vendors[Name],Vendors[Code])</f>
        <v>10701</v>
      </c>
      <c r="B2" s="5" t="s">
        <v>155</v>
      </c>
      <c r="C2" s="140" t="str">
        <f>Purchases[[#This Row],[Prefix]]&amp;Purchases[[#This Row],[Suffix]]</f>
        <v>10701TEST</v>
      </c>
      <c r="D2" s="5" t="s">
        <v>156</v>
      </c>
      <c r="E2" s="5"/>
      <c r="F2" s="5" t="s">
        <v>17</v>
      </c>
      <c r="G2" s="5" t="s">
        <v>166</v>
      </c>
      <c r="H2" s="5">
        <v>100</v>
      </c>
      <c r="I2" s="9">
        <f>Purchases[[#This Row],[Ordered]]</f>
        <v>100</v>
      </c>
      <c r="J2" s="99"/>
      <c r="K2" s="6">
        <v>50</v>
      </c>
      <c r="L2" s="6"/>
      <c r="M2" s="100">
        <f>Purchases[[#This Row],[TaxPaid]]</f>
        <v>0</v>
      </c>
      <c r="N2" s="100">
        <f>2*0.09975*Purchases[[#This Row],[Subtotal]]-Purchases[[#This Row],[TaxPaid]]</f>
        <v>9.9750000000000014</v>
      </c>
      <c r="O2" s="6"/>
      <c r="P2" s="15">
        <f>Purchases[[#This Row],[Subtotal]]+Purchases[[#This Row],[TtlTax]]+Purchases[[#This Row],[Shipping]]</f>
        <v>50</v>
      </c>
      <c r="Q2" s="60">
        <f>Purchases[[#This Row],[Total]]</f>
        <v>50</v>
      </c>
      <c r="R2" s="6"/>
      <c r="S2" s="102"/>
      <c r="T2" s="102"/>
      <c r="U2" s="102"/>
      <c r="V2" s="23" t="str">
        <f>IF(ISBLANK(Purchases[[#This Row],[DateRcvd]]),"",Purchases[[#This Row],[DateRcvd]]-Purchases[[#This Row],[DateOrdered]])</f>
        <v/>
      </c>
      <c r="W2" s="60">
        <f>Purchases[[#This Row],[Cost]]/Purchases[[#This Row],[Ordered]]</f>
        <v>0.5</v>
      </c>
      <c r="X2" s="63" t="str" cm="1">
        <f t="array" aca="1" ref="X2" ca="1">_xlfn.XLOOKUP(Purchases[[#This Row],[Unit]],INDIRECT("Pricing_"&amp;Purchases[[#This Row],[Category]]&amp;"[Cost (Min)]"),Pricing_Sticker[Pricing],,-1)</f>
        <v>B</v>
      </c>
      <c r="Y2" s="101" cm="1">
        <f t="array" aca="1" ref="Y2" ca="1">_xlfn.XLOOKUP(Purchases[[#This Row],[PP]],INDIRECT("Pricing_"&amp;Purchases[[#This Row],[Category]]&amp;"[Pricing]"),INDIRECT("Pricing_"&amp;Purchases[[#This Row],[Category]]&amp;"[Target GM%]"))</f>
        <v>0.65</v>
      </c>
      <c r="Z2" s="129">
        <f ca="1">Purchases[[#This Row],[Unit]]/(1-Purchases[[#This Row],[TargetGM%]])</f>
        <v>1.4285714285714286</v>
      </c>
      <c r="AA2" s="11">
        <v>1.49</v>
      </c>
      <c r="AB2" s="10">
        <f>1-Purchases[[#This Row],[Unit]]/Purchases[[#This Row],[Retail]]</f>
        <v>0.66442953020134232</v>
      </c>
      <c r="AC2" s="139">
        <f ca="1">Purchases[[#This Row],[GM%]]-Purchases[[#This Row],[TargetGM%]]</f>
        <v>1.44295302013423E-2</v>
      </c>
      <c r="AD2" s="21">
        <f>(Purchases[[#This Row],[Retail]]-Purchases[[#This Row],[Unit]])*Purchases[[#This Row],[Rcvd]]</f>
        <v>99</v>
      </c>
      <c r="AE2" s="1">
        <f>Purchases[[#This Row],[Retail]]*Purchases[[#This Row],[Rcvd]]</f>
        <v>149</v>
      </c>
    </row>
    <row r="3" spans="1:31" x14ac:dyDescent="0.25">
      <c r="A3" t="s">
        <v>6</v>
      </c>
      <c r="B3" s="7"/>
      <c r="C3" s="140"/>
      <c r="D3" s="7"/>
      <c r="E3" s="7"/>
      <c r="F3" s="7"/>
      <c r="G3" s="7"/>
      <c r="H3" s="7">
        <f>SUBTOTAL(109,Purchases[Ordered])</f>
        <v>100</v>
      </c>
      <c r="I3" s="14">
        <f>SUBTOTAL(109,Purchases[Rcvd])</f>
        <v>100</v>
      </c>
      <c r="J3" s="122"/>
      <c r="K3" s="15">
        <f>SUBTOTAL(109,Purchases[Subtotal])</f>
        <v>50</v>
      </c>
      <c r="L3" s="15">
        <f>SUBTOTAL(109,Purchases[TaxPaid])</f>
        <v>0</v>
      </c>
      <c r="M3" s="15">
        <f>SUBTOTAL(109,Purchases[TtlTax])</f>
        <v>0</v>
      </c>
      <c r="N3" s="15">
        <f>SUBTOTAL(109,Purchases[TaxDue])</f>
        <v>9.9750000000000014</v>
      </c>
      <c r="O3" s="15">
        <f>SUBTOTAL(109,Purchases[Shipping])</f>
        <v>0</v>
      </c>
      <c r="P3" s="15">
        <f>SUBTOTAL(109,Purchases[Total])</f>
        <v>50</v>
      </c>
      <c r="Q3" s="15">
        <f>SUBTOTAL(109,Purchases[Cost])</f>
        <v>50</v>
      </c>
      <c r="R3" s="15"/>
      <c r="S3" s="16"/>
      <c r="T3" s="16"/>
      <c r="U3" s="16"/>
      <c r="V3" s="24"/>
      <c r="W3" s="18">
        <f>IFERROR(Purchases[[#Totals],[Cost]]/Purchases[[#Totals],[Rcvd]],"-")</f>
        <v>0.5</v>
      </c>
      <c r="X3" s="17"/>
      <c r="Y3" s="142">
        <f ca="1">IFERROR(1-(Purchases[[#Totals],[Cost]]/Purchases[[#Totals],[Rcvd]])/Purchases[[#Totals],[StdRetail]],"-")</f>
        <v>0.65</v>
      </c>
      <c r="Z3" s="17">
        <f ca="1">IFERROR(SUMPRODUCT(Purchases[StdRetail],Purchases[Rcvd])/Purchases[[#Totals],[Rcvd]],"-")</f>
        <v>1.4285714285714286</v>
      </c>
      <c r="AA3" s="18">
        <f>IFERROR(Purchases[[#Totals],[Val.Retail$]]/Purchases[[#Totals],[Rcvd]],"-")</f>
        <v>1.49</v>
      </c>
      <c r="AB3" s="19">
        <f>IFERROR(1-Purchases[[#Totals],[Unit]]/Purchases[[#Totals],[Retail]],"-")</f>
        <v>0.66442953020134232</v>
      </c>
      <c r="AC3" s="19">
        <f ca="1">IFERROR(Purchases[[#Totals],[GM%]]-Purchases[[#Totals],[TargetGM%]],"-")</f>
        <v>1.44295302013423E-2</v>
      </c>
      <c r="AD3" s="15">
        <f>SUBTOTAL(109,Purchases[GM$])</f>
        <v>99</v>
      </c>
      <c r="AE3" s="15">
        <f>SUBTOTAL(109,Purchases[Val.Retail$])</f>
        <v>149</v>
      </c>
    </row>
    <row r="4" spans="1:31" x14ac:dyDescent="0.25">
      <c r="L4" s="61"/>
      <c r="M4" s="61"/>
      <c r="N4" s="61"/>
      <c r="O4" s="103"/>
      <c r="P4" s="20"/>
    </row>
    <row r="11" spans="1:31" s="7" customFormat="1" x14ac:dyDescent="0.25">
      <c r="A11"/>
      <c r="B11"/>
      <c r="C11"/>
      <c r="D11"/>
      <c r="E11"/>
      <c r="F11"/>
      <c r="G11"/>
      <c r="H11"/>
      <c r="I11" s="4"/>
      <c r="J11" s="4"/>
      <c r="K11" s="1"/>
      <c r="L11" s="1"/>
      <c r="M11" s="1"/>
      <c r="N11" s="1"/>
      <c r="O11" s="12"/>
      <c r="P11" s="12"/>
      <c r="Q11" s="12"/>
      <c r="R11" s="23"/>
      <c r="S11" s="1"/>
      <c r="T11" s="1"/>
      <c r="U11"/>
      <c r="V11" s="1"/>
      <c r="W11"/>
      <c r="X11"/>
      <c r="Y11"/>
      <c r="Z11"/>
      <c r="AA11"/>
      <c r="AB11"/>
      <c r="AC11"/>
      <c r="AD11"/>
      <c r="AE11"/>
    </row>
  </sheetData>
  <conditionalFormatting sqref="AA2">
    <cfRule type="cellIs" dxfId="39" priority="3" operator="lessThan">
      <formula>$Z2-$Z2*0.05</formula>
    </cfRule>
  </conditionalFormatting>
  <conditionalFormatting sqref="AC2">
    <cfRule type="colorScale" priority="9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F2B1D-C796-4537-A771-138C11F32959}">
  <sheetPr codeName="Sheet5"/>
  <dimension ref="A1:P32"/>
  <sheetViews>
    <sheetView zoomScale="90" zoomScaleNormal="90" workbookViewId="0">
      <selection activeCell="A4" sqref="A4"/>
    </sheetView>
  </sheetViews>
  <sheetFormatPr defaultRowHeight="15" x14ac:dyDescent="0.25"/>
  <cols>
    <col min="1" max="1" width="18.85546875" bestFit="1" customWidth="1"/>
    <col min="2" max="2" width="27" bestFit="1" customWidth="1"/>
    <col min="3" max="3" width="12.140625" customWidth="1"/>
    <col min="4" max="4" width="10" bestFit="1" customWidth="1"/>
    <col min="5" max="7" width="12.140625" style="1" customWidth="1"/>
    <col min="8" max="8" width="12.140625" style="4" customWidth="1"/>
    <col min="9" max="9" width="10.5703125" bestFit="1" customWidth="1"/>
    <col min="10" max="10" width="12.140625" customWidth="1"/>
    <col min="11" max="11" width="9.85546875" bestFit="1" customWidth="1"/>
    <col min="12" max="12" width="11.28515625" bestFit="1" customWidth="1"/>
    <col min="13" max="13" width="11.85546875" bestFit="1" customWidth="1"/>
    <col min="14" max="14" width="15" bestFit="1" customWidth="1"/>
    <col min="15" max="15" width="11.42578125" bestFit="1" customWidth="1"/>
    <col min="16" max="16" width="10.28515625" bestFit="1" customWidth="1"/>
  </cols>
  <sheetData>
    <row r="1" spans="1:16" ht="21" x14ac:dyDescent="0.35">
      <c r="A1" s="36" t="s">
        <v>73</v>
      </c>
    </row>
    <row r="2" spans="1:16" ht="7.5" customHeight="1" thickBot="1" x14ac:dyDescent="0.3">
      <c r="A2" s="2"/>
    </row>
    <row r="3" spans="1:16" ht="15.75" thickBot="1" x14ac:dyDescent="0.3">
      <c r="A3" s="1" t="s">
        <v>3</v>
      </c>
      <c r="B3" s="22" t="s">
        <v>167</v>
      </c>
      <c r="C3" s="22" t="s">
        <v>74</v>
      </c>
      <c r="D3" s="20" t="s">
        <v>75</v>
      </c>
      <c r="E3" s="22" t="s">
        <v>106</v>
      </c>
      <c r="F3" s="22" t="s">
        <v>76</v>
      </c>
      <c r="G3" s="22" t="s">
        <v>77</v>
      </c>
      <c r="H3" s="22" t="s">
        <v>78</v>
      </c>
      <c r="I3" s="22" t="s">
        <v>79</v>
      </c>
      <c r="J3" s="4"/>
      <c r="M3" s="34" t="s">
        <v>80</v>
      </c>
      <c r="N3" s="33">
        <v>0.74299999999999999</v>
      </c>
    </row>
    <row r="4" spans="1:16" x14ac:dyDescent="0.25">
      <c r="A4" s="8" t="s">
        <v>157</v>
      </c>
      <c r="B4">
        <f>SUMIFS(Purchases[Rcvd],Purchases[SKU],Allocations[[#This Row],[SKU]])</f>
        <v>100</v>
      </c>
      <c r="C4">
        <f>SUMIFS(BundleContents[Allocated],BundleContents[SKU],Allocations[[#This Row],[SKU]])</f>
        <v>50</v>
      </c>
      <c r="D4" s="32">
        <f>IFERROR(Allocations[[#This Row],[Allocated]]/Allocations[[#This Row],[Total Qty]],"-")</f>
        <v>0.5</v>
      </c>
      <c r="E4" s="4">
        <f>SUMIFS(Purchases[Rcvd],Purchases[SKU],Allocations[[#This Row],[SKU]])-Allocations[[#This Row],[Allocated]]</f>
        <v>50</v>
      </c>
      <c r="F4" s="1">
        <f>Allocations[[#This Row],[Unallocated]]*SUMIFS(Purchases[Cost],Purchases[SKU],Allocations[[#This Row],[SKU]])/SUMIFS(Purchases[Rcvd],Purchases[SKU],Allocations[[#This Row],[SKU]])</f>
        <v>25</v>
      </c>
      <c r="G4" s="1">
        <f>Allocations[[#This Row],[Unallocated]]*SUMIFS(Purchases[Val.Retail$],Purchases[SKU],Allocations[[#This Row],[SKU]])/SUMIFS(Purchases[Rcvd],Purchases[SKU],Allocations[[#This Row],[SKU]])</f>
        <v>74.5</v>
      </c>
      <c r="H4" s="1">
        <f>Allocations[[#This Row],[Val.Retail]]-Allocations[[#This Row],[Val.Cost]]</f>
        <v>49.5</v>
      </c>
      <c r="I4" s="3">
        <f>IFERROR(1-Allocations[[#This Row],[Val.Cost]]/Allocations[[#This Row],[Val.Retail]],0)</f>
        <v>0.66442953020134232</v>
      </c>
      <c r="J4" s="4"/>
    </row>
    <row r="5" spans="1:16" x14ac:dyDescent="0.25">
      <c r="B5">
        <f>SUBTOTAL(109,Allocations[Total Qty])</f>
        <v>100</v>
      </c>
      <c r="C5">
        <f>SUBTOTAL(109,Allocations[Allocated])</f>
        <v>50</v>
      </c>
      <c r="D5" s="111">
        <f>IFERROR(Allocations[[#Totals],[Allocated]]/Allocations[[#Totals],[Total Qty]],"-")</f>
        <v>0.5</v>
      </c>
      <c r="E5" s="4">
        <f>SUBTOTAL(109,Allocations[Unallocated])</f>
        <v>50</v>
      </c>
      <c r="F5" s="1">
        <f>SUBTOTAL(109,Allocations[Val.Cost])</f>
        <v>25</v>
      </c>
      <c r="G5" s="1">
        <f>SUBTOTAL(109,Allocations[Val.Retail])</f>
        <v>74.5</v>
      </c>
      <c r="H5" s="1">
        <f>SUBTOTAL(109,H4:H4)</f>
        <v>49.5</v>
      </c>
      <c r="I5" s="85">
        <f>IFERROR(1-Allocations[[#Totals],[Val.Cost]]/Allocations[[#Totals],[Val.Retail]],"-")</f>
        <v>0.66442953020134232</v>
      </c>
      <c r="J5" s="4"/>
    </row>
    <row r="6" spans="1:16" x14ac:dyDescent="0.25">
      <c r="F6" s="4"/>
    </row>
    <row r="7" spans="1:16" ht="18.75" x14ac:dyDescent="0.3">
      <c r="A7" s="35" t="s">
        <v>81</v>
      </c>
    </row>
    <row r="8" spans="1:16" ht="15.75" thickBot="1" x14ac:dyDescent="0.3">
      <c r="A8" s="2"/>
    </row>
    <row r="9" spans="1:16" x14ac:dyDescent="0.25">
      <c r="A9" t="s">
        <v>3</v>
      </c>
      <c r="B9" t="s">
        <v>82</v>
      </c>
      <c r="C9" s="107" t="s">
        <v>5</v>
      </c>
      <c r="D9" s="30" t="s">
        <v>83</v>
      </c>
      <c r="E9" s="22" t="s">
        <v>84</v>
      </c>
      <c r="F9" s="22" t="s">
        <v>136</v>
      </c>
      <c r="G9" s="31" t="s">
        <v>74</v>
      </c>
      <c r="H9" s="23" t="s">
        <v>61</v>
      </c>
      <c r="I9" s="81" t="s">
        <v>70</v>
      </c>
      <c r="J9" s="79" t="s">
        <v>85</v>
      </c>
      <c r="K9" s="38" t="s">
        <v>86</v>
      </c>
      <c r="L9" s="30" t="s">
        <v>72</v>
      </c>
      <c r="M9" s="13" t="s">
        <v>71</v>
      </c>
      <c r="N9" t="s">
        <v>87</v>
      </c>
    </row>
    <row r="10" spans="1:16" ht="15.75" x14ac:dyDescent="0.25">
      <c r="A10" s="11" t="s">
        <v>159</v>
      </c>
      <c r="B10" s="11" t="s">
        <v>160</v>
      </c>
      <c r="C10" s="109">
        <v>5</v>
      </c>
      <c r="D10" s="1">
        <f>Bundles[[#This Row],[Qty]]*SUMIFS(BundleContents[Ext.Cost],BundleContents[Bundle SKU],Bundles[[#This Row],[SKU]])</f>
        <v>25</v>
      </c>
      <c r="E10" s="1">
        <f>Bundles[[#This Row],[Qty]]*SUMIFS(BundleContents[Ext.Retail],BundleContents[Bundle SKU],Bundles[[#This Row],[SKU]])</f>
        <v>74.5</v>
      </c>
      <c r="F10" s="23">
        <f>SUMIFS(BundleContents[Qty],BundleContents[Bundle SKU],Bundles[[#This Row],[SKU]])</f>
        <v>10</v>
      </c>
      <c r="G10" s="4">
        <f>SUMIFS(BundleContents[[#Data],[Allocated]],BundleContents[Bundle SKU],Bundles[[#This Row],[SKU]])</f>
        <v>50</v>
      </c>
      <c r="H10" s="20">
        <f>IFERROR(Bundles[[#This Row],[Ext.Cost]]/Bundles[[#This Row],[Qty]],"-")</f>
        <v>5</v>
      </c>
      <c r="I10" s="82">
        <f>IFERROR(Bundles[[#This Row],[Ext.Retail]]/Bundles[[#This Row],[Qty]],"-")</f>
        <v>14.9</v>
      </c>
      <c r="J10" s="106">
        <v>9.99</v>
      </c>
      <c r="K10" s="39">
        <f>Bundles[[#This Row],[CAD]]*ExchangeRate</f>
        <v>7.4225700000000003</v>
      </c>
      <c r="L10" s="1">
        <f>Bundles[[#This Row],[Qty]]*Bundles[[#This Row],[CAD]]-Bundles[[#This Row],[Ext.Cost]]</f>
        <v>24.950000000000003</v>
      </c>
      <c r="M10" s="10">
        <f>IFERROR(1-Bundles[[#This Row],[Ext.Cost]]/(Bundles[[#This Row],[Qty]]*Bundles[[#This Row],[CAD]]),"-")</f>
        <v>0.49949949949949957</v>
      </c>
      <c r="N10" s="10">
        <f>IFERROR(Bundles[[#This Row],[CAD]]/Bundles[[#This Row],[Retail]]-1,"-")</f>
        <v>-0.32953020134228184</v>
      </c>
      <c r="P10" s="1"/>
    </row>
    <row r="11" spans="1:16" ht="16.5" thickBot="1" x14ac:dyDescent="0.3">
      <c r="B11" s="27" t="s">
        <v>6</v>
      </c>
      <c r="C11" s="108">
        <f>SUBTOTAL(109,Bundles[Qty])</f>
        <v>5</v>
      </c>
      <c r="D11" s="1">
        <f>SUBTOTAL(109,Bundles[Ext.Cost])</f>
        <v>25</v>
      </c>
      <c r="E11" s="1">
        <f>SUBTOTAL(109,Bundles[Ext.Retail])</f>
        <v>74.5</v>
      </c>
      <c r="G11" s="4">
        <f>SUBTOTAL(109,Bundles[Allocated])</f>
        <v>50</v>
      </c>
      <c r="H11" s="20">
        <f>Bundles[[#Totals],[Ext.Cost]]/Bundles[[#Totals],[Qty]]</f>
        <v>5</v>
      </c>
      <c r="I11" s="83">
        <f>Bundles[[#Totals],[Ext.Retail]]/Bundles[[#Totals],[Qty]]</f>
        <v>14.9</v>
      </c>
      <c r="J11" s="80">
        <f>SUMPRODUCT(Bundles[Qty],Bundles[CAD])/Bundles[[#Totals],[Qty]]</f>
        <v>9.99</v>
      </c>
      <c r="K11" s="40"/>
      <c r="L11" s="1">
        <f>SUBTOTAL(109,Bundles[GM$])</f>
        <v>24.950000000000003</v>
      </c>
      <c r="M11" s="104">
        <f>IFERROR(1-D11/(C11*J11),"-")</f>
        <v>0.49949949949949957</v>
      </c>
      <c r="N11" s="104">
        <f>IFERROR(Bundles[[#Totals],[CAD]]/Bundles[[#Totals],[Retail]]-1,"-")</f>
        <v>-0.32953020134228184</v>
      </c>
    </row>
    <row r="12" spans="1:16" ht="15.75" x14ac:dyDescent="0.25">
      <c r="A12" s="27"/>
      <c r="C12" s="25"/>
      <c r="D12" s="1"/>
      <c r="G12" s="3"/>
      <c r="I12" s="26"/>
      <c r="J12" s="29"/>
      <c r="K12" s="84"/>
    </row>
    <row r="13" spans="1:16" ht="18.75" x14ac:dyDescent="0.3">
      <c r="A13" s="35" t="s">
        <v>88</v>
      </c>
      <c r="B13" s="105"/>
      <c r="H13" s="119"/>
      <c r="J13" s="34"/>
    </row>
    <row r="14" spans="1:16" x14ac:dyDescent="0.25">
      <c r="A14" s="2"/>
    </row>
    <row r="15" spans="1:16" ht="15" customHeight="1" x14ac:dyDescent="0.25">
      <c r="A15" t="s">
        <v>89</v>
      </c>
      <c r="B15" t="s">
        <v>3</v>
      </c>
      <c r="C15" s="13" t="s">
        <v>5</v>
      </c>
      <c r="D15" s="30" t="s">
        <v>61</v>
      </c>
      <c r="E15" s="30" t="s">
        <v>70</v>
      </c>
      <c r="F15" s="22" t="s">
        <v>72</v>
      </c>
      <c r="G15" s="20" t="s">
        <v>71</v>
      </c>
      <c r="H15" s="31" t="s">
        <v>74</v>
      </c>
      <c r="I15" s="30" t="s">
        <v>83</v>
      </c>
      <c r="J15" s="30" t="s">
        <v>84</v>
      </c>
      <c r="K15" s="30" t="s">
        <v>90</v>
      </c>
      <c r="L15" s="13" t="s">
        <v>91</v>
      </c>
      <c r="M15" t="s">
        <v>150</v>
      </c>
      <c r="N15" t="s">
        <v>151</v>
      </c>
      <c r="O15" t="s">
        <v>152</v>
      </c>
    </row>
    <row r="16" spans="1:16" ht="15" customHeight="1" x14ac:dyDescent="0.25">
      <c r="A16" s="11" t="s">
        <v>159</v>
      </c>
      <c r="B16" s="8" t="s">
        <v>157</v>
      </c>
      <c r="C16" s="28">
        <v>10</v>
      </c>
      <c r="D16" s="1">
        <f>SUMIFS(Purchases[Cost],Purchases[SKU],BundleContents[[#This Row],[SKU]])/SUMIFS(Purchases[Rcvd],Purchases[SKU],BundleContents[[#This Row],[SKU]])</f>
        <v>0.5</v>
      </c>
      <c r="E16" s="1">
        <f>_xlfn.XLOOKUP(BundleContents[[#This Row],[SKU]],Purchases[SKU],Purchases[Retail])</f>
        <v>1.49</v>
      </c>
      <c r="F16" s="1">
        <f>BundleContents[[#This Row],[Retail]]-BundleContents[[#This Row],[Cost]]</f>
        <v>0.99</v>
      </c>
      <c r="G16" s="37">
        <f>IFERROR(BundleContents[[#This Row],[GM$]]/BundleContents[[#This Row],[Retail]],"-")</f>
        <v>0.66442953020134232</v>
      </c>
      <c r="H16" s="4">
        <f>BundleContents[[#This Row],[Qty]]*_xlfn.XLOOKUP(BundleContents[[#This Row],[Bundle SKU]],Bundles[SKU],Bundles[Qty])</f>
        <v>50</v>
      </c>
      <c r="I16" s="1">
        <f>BundleContents[[#This Row],[Qty]]*BundleContents[[#This Row],[Cost]]</f>
        <v>5</v>
      </c>
      <c r="J16" s="1">
        <f>BundleContents[[#This Row],[Qty]]*BundleContents[[#This Row],[Retail]]</f>
        <v>14.9</v>
      </c>
      <c r="K16" s="1">
        <f>BundleContents[[#This Row],[Qty]]*BundleContents[[#This Row],[GM$]]</f>
        <v>9.9</v>
      </c>
      <c r="L16" s="49" t="b">
        <f>AND(BundleContents[[#This Row],[Allocated]]&gt;0,_xlfn.XLOOKUP(BundleContents[[#This Row],[SKU]],Inventory[SKU],Inventory[OnHand])&gt;=BundleContents[[#This Row],[Allocated]])</f>
        <v>0</v>
      </c>
      <c r="M16" s="1"/>
      <c r="N16" s="1"/>
      <c r="O16" s="1"/>
    </row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</sheetData>
  <conditionalFormatting sqref="E4">
    <cfRule type="cellIs" dxfId="38" priority="2" operator="lessThan">
      <formula>0</formula>
    </cfRule>
  </conditionalFormatting>
  <conditionalFormatting sqref="D4">
    <cfRule type="dataBar" priority="9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{1AB7D1C8-6956-4D25-884E-D84299F10224}</x14:id>
        </ext>
      </extLst>
    </cfRule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B7D1C8-6956-4D25-884E-D84299F102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8657-0F63-406B-90D6-999CEA751D3F}">
  <sheetPr codeName="InventorySheet"/>
  <dimension ref="A1:AA4"/>
  <sheetViews>
    <sheetView topLeftCell="C1" workbookViewId="0">
      <selection activeCell="AA2" sqref="AA2"/>
    </sheetView>
  </sheetViews>
  <sheetFormatPr defaultRowHeight="15" x14ac:dyDescent="0.25"/>
  <cols>
    <col min="1" max="1" width="13.42578125" bestFit="1" customWidth="1"/>
    <col min="2" max="2" width="50" bestFit="1" customWidth="1"/>
    <col min="3" max="3" width="10.42578125" bestFit="1" customWidth="1"/>
    <col min="4" max="4" width="10.140625" style="13" bestFit="1" customWidth="1"/>
    <col min="5" max="5" width="7.28515625" style="13" bestFit="1" customWidth="1"/>
    <col min="6" max="6" width="8.85546875" style="13" bestFit="1" customWidth="1"/>
    <col min="7" max="7" width="9.42578125" style="13" bestFit="1" customWidth="1"/>
    <col min="8" max="8" width="10" style="13" bestFit="1" customWidth="1"/>
    <col min="9" max="9" width="10.28515625" style="13" bestFit="1" customWidth="1"/>
    <col min="10" max="10" width="11.140625" style="13" bestFit="1" customWidth="1"/>
    <col min="11" max="13" width="11.42578125" customWidth="1"/>
    <col min="14" max="15" width="11.42578125" bestFit="1" customWidth="1"/>
    <col min="16" max="16" width="11" bestFit="1" customWidth="1"/>
    <col min="17" max="17" width="10.5703125" bestFit="1" customWidth="1"/>
    <col min="18" max="19" width="5.42578125" customWidth="1"/>
    <col min="20" max="20" width="5.140625" customWidth="1"/>
    <col min="21" max="21" width="5.7109375" customWidth="1"/>
    <col min="22" max="22" width="5.7109375" bestFit="1" customWidth="1"/>
    <col min="26" max="26" width="9.5703125" bestFit="1" customWidth="1"/>
  </cols>
  <sheetData>
    <row r="1" spans="1:27" ht="33" customHeight="1" x14ac:dyDescent="0.25">
      <c r="A1" s="132" t="s">
        <v>3</v>
      </c>
      <c r="B1" s="132" t="s">
        <v>4</v>
      </c>
      <c r="C1" s="132" t="s">
        <v>92</v>
      </c>
      <c r="D1" s="132" t="s">
        <v>54</v>
      </c>
      <c r="E1" s="132" t="s">
        <v>93</v>
      </c>
      <c r="F1" s="34" t="s">
        <v>91</v>
      </c>
      <c r="G1" s="34" t="s">
        <v>94</v>
      </c>
      <c r="H1" s="34" t="s">
        <v>74</v>
      </c>
      <c r="I1" s="135" t="s">
        <v>132</v>
      </c>
      <c r="J1" s="136" t="s">
        <v>133</v>
      </c>
      <c r="K1" s="34" t="s">
        <v>95</v>
      </c>
      <c r="L1" s="136" t="s">
        <v>134</v>
      </c>
      <c r="M1" s="136" t="s">
        <v>135</v>
      </c>
      <c r="N1" s="137" t="s">
        <v>96</v>
      </c>
      <c r="O1" s="34" t="s">
        <v>71</v>
      </c>
      <c r="P1" s="138" t="s">
        <v>161</v>
      </c>
      <c r="Q1" s="138" t="s">
        <v>127</v>
      </c>
      <c r="R1" s="133" t="s">
        <v>97</v>
      </c>
      <c r="S1" s="134" t="s">
        <v>119</v>
      </c>
      <c r="T1" s="134" t="s">
        <v>120</v>
      </c>
      <c r="U1" s="134" t="s">
        <v>121</v>
      </c>
      <c r="V1" s="134" t="s">
        <v>122</v>
      </c>
      <c r="W1" s="134" t="s">
        <v>123</v>
      </c>
      <c r="X1" s="134" t="s">
        <v>124</v>
      </c>
      <c r="Y1" s="134" t="s">
        <v>149</v>
      </c>
      <c r="Z1" s="34" t="s">
        <v>98</v>
      </c>
      <c r="AA1" s="34" t="s">
        <v>99</v>
      </c>
    </row>
    <row r="2" spans="1:27" x14ac:dyDescent="0.25">
      <c r="A2" s="8" t="s">
        <v>157</v>
      </c>
      <c r="B2" t="str">
        <f>_xlfn.XLOOKUP(Inventory[[#This Row],[SKU]],Purchases[SKU],Purchases[Description],_xlfn.XLOOKUP(Inventory[[#This Row],[SKU]],Bundles[SKU],Bundles[Bundle]))</f>
        <v>Some sticker</v>
      </c>
      <c r="C2" t="b">
        <f>NOT(ISERROR(_xlfn.XLOOKUP(Inventory[[#This Row],[SKU]],Bundles[SKU],Bundles[Bundle])))</f>
        <v>0</v>
      </c>
      <c r="D2" t="str">
        <f>IF(Inventory[[#This Row],[IsBundle]],"Bundle",_xlfn.XLOOKUP(VALUE(LEFT(Inventory[[#This Row],[SKU]],2)),Categories[Code],Categories[Name]))</f>
        <v>Sticker</v>
      </c>
      <c r="E2" s="8" t="s">
        <v>18</v>
      </c>
      <c r="F2" s="13">
        <f>SUMIFS(Purchases[Rcvd],Purchases[SKU],Inventory[[#This Row],[SKU]],Purchases[DateRcvd],"&gt;0")</f>
        <v>0</v>
      </c>
      <c r="G2" s="13">
        <f>SUMIFS(Purchases[Rcvd],Purchases[SKU],Inventory[[#This Row],[SKU]],Purchases[DateRcvd],"")</f>
        <v>100</v>
      </c>
      <c r="H2" s="13">
        <f>SUMIFS(Allocations[Allocated],Allocations[SKU],Inventory[[#This Row],[SKU]])</f>
        <v>50</v>
      </c>
      <c r="I2" s="112">
        <f>MAX(0,_xlfn.XLOOKUP(Inventory[[#This Row],[SKU]],Bundles[SKU],Bundles[Qty],MAX(0,Inventory[[#This Row],[OnHand]]+Inventory[[#This Row],[OnOrder]]-Inventory[[#This Row],[Allocated]]))-Inventory[[#This Row],[Sold]])</f>
        <v>42</v>
      </c>
      <c r="J2" s="13">
        <f>IF(Inventory[[#This Row],[OnHand]]&gt;0,Inventory[[#This Row],[OnHand]]-Inventory[[#This Row],[Sold]],0)</f>
        <v>0</v>
      </c>
      <c r="K2" s="13">
        <f>ABS(MIN(0,_xlfn.XLOOKUP(Inventory[[#This Row],[SKU]],Bundles[SKU],Bundles[Qty],MIN(0,Inventory[[#This Row],[OnHand]]+Inventory[[#This Row],[OnOrder]]-Inventory[[#This Row],[Allocated]]))))</f>
        <v>0</v>
      </c>
      <c r="L2" s="97">
        <f>IFERROR(SUMIFS(Purchases[Cost],Purchases[SKU],Inventory[[#This Row],[SKU]])/SUMIFS(Purchases[Rcvd],Purchases[SKU],Inventory[[#This Row],[SKU]]),_xlfn.XLOOKUP(Inventory[[#This Row],[SKU]],Bundles[SKU],Bundles[Cost]))</f>
        <v>0.5</v>
      </c>
      <c r="M2" s="110">
        <f>_xlfn.XLOOKUP(Inventory[[#This Row],[SKU]],Bundles[SKU],Bundles[CAD],AVERAGEIFS(Purchases[Retail],Purchases[SKU],Inventory[[#This Row],[SKU]]))</f>
        <v>1.49</v>
      </c>
      <c r="N2" s="110">
        <f>Inventory[[#This Row],[Avg. Retail$]]</f>
        <v>1.49</v>
      </c>
      <c r="O2" s="10">
        <f>IFERROR(1-Inventory[[#This Row],[Avg. Cost$]]/Inventory[[#This Row],[Avg. Retail$]],"-")</f>
        <v>0.66442953020134232</v>
      </c>
      <c r="P2" s="51">
        <f>IF(Inventory[[#This Row],[IsBundle]],0,Inventory[[#This Row],[Avg. Cost$]]*(Inventory[[#This Row],[Avlb. to Sell]]+Inventory[[#This Row],[Allocated]]))</f>
        <v>46</v>
      </c>
      <c r="Q2" s="51">
        <f>IF(Inventory[[#This Row],[IsBundle]],0,Inventory[[#This Row],[Avg. Retail$]]*(Inventory[[#This Row],[Avlb. to Sell]]+Inventory[[#This Row],[Allocated]]))</f>
        <v>137.08000000000001</v>
      </c>
      <c r="R2" s="112">
        <f>SUMIFS(Sales[Qty],Sales[SKU],Inventory[[#This Row],[SKU]])</f>
        <v>8</v>
      </c>
      <c r="S2" s="13">
        <f ca="1">SUMIFS(Sales[Qty],Sales[SKU],Inventory[[#This Row],[SKU]],Sales[Period],S$1)</f>
        <v>0</v>
      </c>
      <c r="T2" s="13">
        <f ca="1">SUMIFS(Sales[Qty],Sales[SKU],Inventory[[#This Row],[SKU]],Sales[Period],T$1)</f>
        <v>0</v>
      </c>
      <c r="U2" s="13">
        <f ca="1">SUMIFS(Sales[Qty],Sales[SKU],Inventory[[#This Row],[SKU]],Sales[Period],U$1)</f>
        <v>0</v>
      </c>
      <c r="V2" s="13">
        <f ca="1">SUMIFS(Sales[Qty],Sales[SKU],Inventory[[#This Row],[SKU]],Sales[Period],V$1)</f>
        <v>0</v>
      </c>
      <c r="W2" s="13">
        <f ca="1">SUMIFS(Sales[Qty],Sales[SKU],Inventory[[#This Row],[SKU]],Sales[Period],W$1)</f>
        <v>0</v>
      </c>
      <c r="X2" s="13">
        <f ca="1">SUMIFS(Sales[Qty],Sales[SKU],Inventory[[#This Row],[SKU]],Sales[Period],X$1)</f>
        <v>0</v>
      </c>
      <c r="Y2" s="13">
        <f ca="1">SUMIFS(Sales[Qty],Sales[SKU],Inventory[[#This Row],[SKU]],Sales[Period],Y$1)</f>
        <v>8</v>
      </c>
      <c r="Z2" s="125">
        <f ca="1">IFERROR(Inventory[[#This Row],[Avlb. to Sell]]/Inventory[[#This Row],[CP]],"-")</f>
        <v>5.25</v>
      </c>
      <c r="AA2" s="78">
        <f ca="1">IFERROR(52/Inventory[[#This Row],[WOS]],"-")</f>
        <v>9.9047619047619051</v>
      </c>
    </row>
    <row r="3" spans="1:27" x14ac:dyDescent="0.25">
      <c r="A3" s="8" t="s">
        <v>159</v>
      </c>
      <c r="B3" s="165" t="str">
        <f>_xlfn.XLOOKUP(Inventory[[#This Row],[SKU]],Purchases[SKU],Purchases[Description],_xlfn.XLOOKUP(Inventory[[#This Row],[SKU]],Bundles[SKU],Bundles[Bundle]))</f>
        <v>Test Bundle</v>
      </c>
      <c r="C3" s="165" t="b">
        <f>NOT(ISERROR(_xlfn.XLOOKUP(Inventory[[#This Row],[SKU]],Bundles[SKU],Bundles[Bundle])))</f>
        <v>1</v>
      </c>
      <c r="D3" s="165" t="str">
        <f>IF(Inventory[[#This Row],[IsBundle]],"Bundle",_xlfn.XLOOKUP(VALUE(LEFT(Inventory[[#This Row],[SKU]],2)),Categories[Code],Categories[Name]))</f>
        <v>Bundle</v>
      </c>
      <c r="E3" s="171" t="s">
        <v>18</v>
      </c>
      <c r="F3" s="163">
        <f>SUMIFS(Purchases[Rcvd],Purchases[SKU],Inventory[[#This Row],[SKU]],Purchases[DateRcvd],"&gt;0")</f>
        <v>0</v>
      </c>
      <c r="G3" s="163">
        <f>SUMIFS(Purchases[Rcvd],Purchases[SKU],Inventory[[#This Row],[SKU]],Purchases[DateRcvd],"")</f>
        <v>0</v>
      </c>
      <c r="H3" s="163">
        <f>SUMIFS(Allocations[Allocated],Allocations[SKU],Inventory[[#This Row],[SKU]])</f>
        <v>0</v>
      </c>
      <c r="I3" s="172">
        <f>MAX(0,_xlfn.XLOOKUP(Inventory[[#This Row],[SKU]],Bundles[SKU],Bundles[Qty],MAX(0,Inventory[[#This Row],[OnHand]]+Inventory[[#This Row],[OnOrder]]-Inventory[[#This Row],[Allocated]]))-Inventory[[#This Row],[Sold]])</f>
        <v>5</v>
      </c>
      <c r="J3" s="163">
        <f>IF(Inventory[[#This Row],[OnHand]]&gt;0,Inventory[[#This Row],[OnHand]]-Inventory[[#This Row],[Sold]],0)</f>
        <v>0</v>
      </c>
      <c r="K3" s="163">
        <f>ABS(MIN(0,_xlfn.XLOOKUP(Inventory[[#This Row],[SKU]],Bundles[SKU],Bundles[Qty],MIN(0,Inventory[[#This Row],[OnHand]]+Inventory[[#This Row],[OnOrder]]-Inventory[[#This Row],[Allocated]]))))</f>
        <v>0</v>
      </c>
      <c r="L3" s="97">
        <f>IFERROR(SUMIFS(Purchases[Cost],Purchases[SKU],Inventory[[#This Row],[SKU]])/SUMIFS(Purchases[Rcvd],Purchases[SKU],Inventory[[#This Row],[SKU]]),_xlfn.XLOOKUP(Inventory[[#This Row],[SKU]],Bundles[SKU],Bundles[Cost]))</f>
        <v>5</v>
      </c>
      <c r="M3" s="110">
        <f>_xlfn.XLOOKUP(Inventory[[#This Row],[SKU]],Bundles[SKU],Bundles[CAD],AVERAGEIFS(Purchases[Retail],Purchases[SKU],Inventory[[#This Row],[SKU]]))</f>
        <v>9.99</v>
      </c>
      <c r="N3" s="110">
        <f>Inventory[[#This Row],[Avg. Retail$]]</f>
        <v>9.99</v>
      </c>
      <c r="O3" s="10">
        <f>IFERROR(1-Inventory[[#This Row],[Avg. Cost$]]/Inventory[[#This Row],[Avg. Retail$]],"-")</f>
        <v>0.49949949949949946</v>
      </c>
      <c r="P3" s="51">
        <f>IF(Inventory[[#This Row],[IsBundle]],0,Inventory[[#This Row],[Avg. Cost$]]*(Inventory[[#This Row],[Avlb. to Sell]]+Inventory[[#This Row],[Allocated]]))</f>
        <v>0</v>
      </c>
      <c r="Q3" s="51">
        <f>IF(Inventory[[#This Row],[IsBundle]],0,Inventory[[#This Row],[Avg. Retail$]]*(Inventory[[#This Row],[Avlb. to Sell]]+Inventory[[#This Row],[Allocated]]))</f>
        <v>0</v>
      </c>
      <c r="R3" s="131">
        <f>SUMIFS(Sales[Qty],Sales[SKU],Inventory[[#This Row],[SKU]])</f>
        <v>0</v>
      </c>
      <c r="S3" s="163">
        <f>SUMIFS(Sales[Qty],Sales[SKU],Inventory[[#This Row],[SKU]],Sales[Period],S$1)</f>
        <v>0</v>
      </c>
      <c r="T3" s="163">
        <f>SUMIFS(Sales[Qty],Sales[SKU],Inventory[[#This Row],[SKU]],Sales[Period],T$1)</f>
        <v>0</v>
      </c>
      <c r="U3" s="163">
        <f>SUMIFS(Sales[Qty],Sales[SKU],Inventory[[#This Row],[SKU]],Sales[Period],U$1)</f>
        <v>0</v>
      </c>
      <c r="V3" s="163">
        <f>SUMIFS(Sales[Qty],Sales[SKU],Inventory[[#This Row],[SKU]],Sales[Period],V$1)</f>
        <v>0</v>
      </c>
      <c r="W3" s="163">
        <f>SUMIFS(Sales[Qty],Sales[SKU],Inventory[[#This Row],[SKU]],Sales[Period],W$1)</f>
        <v>0</v>
      </c>
      <c r="X3" s="163">
        <f>SUMIFS(Sales[Qty],Sales[SKU],Inventory[[#This Row],[SKU]],Sales[Period],X$1)</f>
        <v>0</v>
      </c>
      <c r="Y3" s="13">
        <f>SUMIFS(Sales[Qty],Sales[SKU],Inventory[[#This Row],[SKU]],Sales[Period],Y$1)</f>
        <v>0</v>
      </c>
      <c r="Z3" s="125" t="str">
        <f>IFERROR(Inventory[[#This Row],[Avlb. to Sell]]/Inventory[[#This Row],[CP]],"-")</f>
        <v>-</v>
      </c>
      <c r="AA3" s="141" t="str">
        <f>IFERROR(52/Inventory[[#This Row],[WOS]],"-")</f>
        <v>-</v>
      </c>
    </row>
    <row r="4" spans="1:27" ht="15.75" thickBot="1" x14ac:dyDescent="0.3">
      <c r="A4" s="75" t="s">
        <v>6</v>
      </c>
      <c r="B4" s="84">
        <f>SUBTOTAL(103,Inventory[Description])</f>
        <v>2</v>
      </c>
      <c r="C4" s="13">
        <f>COUNTIF(Inventory[IsBundle],TRUE)</f>
        <v>1</v>
      </c>
      <c r="E4"/>
      <c r="F4" s="13">
        <f>SUBTOTAL(109,Inventory[OnHand])</f>
        <v>0</v>
      </c>
      <c r="G4" s="13">
        <f>SUBTOTAL(109,Inventory[OnOrder])</f>
        <v>100</v>
      </c>
      <c r="H4" s="13">
        <f>SUBTOTAL(109,Inventory[Allocated])</f>
        <v>50</v>
      </c>
      <c r="I4" s="113">
        <f>SUBTOTAL(109,Inventory[Avlb. to Sell])</f>
        <v>47</v>
      </c>
      <c r="J4" s="13">
        <f>SUBTOTAL(109,Inventory[Avlb. to Ship])</f>
        <v>0</v>
      </c>
      <c r="K4" s="13">
        <f>SUBTOTAL(109,Inventory[OTB])</f>
        <v>0</v>
      </c>
      <c r="L4" s="97">
        <f>IFERROR(SUMPRODUCT(Inventory[Avlb. to Sell],Inventory[Avg. Cost$])/Inventory[[#Totals],[Avlb. to Sell]],"-")</f>
        <v>0.97872340425531912</v>
      </c>
      <c r="M4" s="51">
        <f>IFERROR(SUMPRODUCT(Inventory[Avlb. to Sell],Inventory[Avg. Retail$])/Inventory[[#Totals],[Avlb. to Sell]],"-")</f>
        <v>2.3942553191489364</v>
      </c>
      <c r="N4" s="13"/>
      <c r="O4" s="104">
        <f>IFERROR(1-Inventory[[#Totals],[Avg. Cost$]]/Inventory[[#Totals],[Avg. Retail$]],"-")</f>
        <v>0.59122011907935668</v>
      </c>
      <c r="P4" s="51">
        <f>SUBTOTAL(109,Inventory[Cost$])</f>
        <v>46</v>
      </c>
      <c r="Q4" s="51">
        <f>SUBTOTAL(109,Inventory[Retail$])</f>
        <v>137.08000000000001</v>
      </c>
      <c r="R4" s="113">
        <f>SUBTOTAL(109,Inventory[Sold])</f>
        <v>8</v>
      </c>
      <c r="S4" s="13">
        <f ca="1">SUBTOTAL(109,Inventory[P6])</f>
        <v>0</v>
      </c>
      <c r="T4" s="13">
        <f ca="1">SUBTOTAL(109,Inventory[P5])</f>
        <v>0</v>
      </c>
      <c r="U4" s="13">
        <f ca="1">SUBTOTAL(109,Inventory[P4])</f>
        <v>0</v>
      </c>
      <c r="V4" s="13">
        <f ca="1">SUBTOTAL(109,Inventory[P3])</f>
        <v>0</v>
      </c>
      <c r="W4" s="13">
        <f ca="1">SUBTOTAL(109,Inventory[P2])</f>
        <v>0</v>
      </c>
      <c r="X4" s="13">
        <f ca="1">SUBTOTAL(109,Inventory[P1])</f>
        <v>0</v>
      </c>
      <c r="Y4" s="13">
        <f ca="1">SUBTOTAL(109,Inventory[CP])</f>
        <v>8</v>
      </c>
      <c r="Z4" s="78" t="str">
        <f ca="1">IFERROR(Inventory[[#Totals],[Avlb. to Sell]]/Inventory[[#Totals],[P1]],"-")</f>
        <v>-</v>
      </c>
      <c r="AA4" s="78" t="str">
        <f ca="1">IFERROR(52/Inventory[[#Totals],[WOS]],"-")</f>
        <v>-</v>
      </c>
    </row>
  </sheetData>
  <phoneticPr fontId="18" alignment="center"/>
  <conditionalFormatting sqref="F2:Y3">
    <cfRule type="cellIs" dxfId="37" priority="1" operator="equal">
      <formula>0</formula>
    </cfRule>
  </conditionalFormatting>
  <conditionalFormatting sqref="K2:K4">
    <cfRule type="cellIs" dxfId="36" priority="2" operator="greaterThan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F744-5864-4F01-B389-4A4560C158F9}">
  <sheetPr codeName="SalesSheet"/>
  <dimension ref="A1:P4"/>
  <sheetViews>
    <sheetView workbookViewId="0">
      <selection activeCell="I2" sqref="I2"/>
    </sheetView>
  </sheetViews>
  <sheetFormatPr defaultRowHeight="15" x14ac:dyDescent="0.25"/>
  <cols>
    <col min="1" max="1" width="9.5703125" customWidth="1"/>
    <col min="2" max="2" width="5.140625" bestFit="1" customWidth="1"/>
    <col min="3" max="3" width="13.7109375" customWidth="1"/>
    <col min="4" max="4" width="11" bestFit="1" customWidth="1"/>
    <col min="5" max="5" width="6.85546875" bestFit="1" customWidth="1"/>
    <col min="6" max="6" width="16.7109375" customWidth="1"/>
    <col min="7" max="7" width="11.28515625" bestFit="1" customWidth="1"/>
    <col min="8" max="8" width="7.28515625" bestFit="1" customWidth="1"/>
    <col min="9" max="10" width="10.28515625" customWidth="1"/>
    <col min="12" max="12" width="11.140625" bestFit="1" customWidth="1"/>
  </cols>
  <sheetData>
    <row r="1" spans="1:16" x14ac:dyDescent="0.25">
      <c r="A1" t="s">
        <v>100</v>
      </c>
      <c r="B1" t="s">
        <v>104</v>
      </c>
      <c r="C1" t="s">
        <v>101</v>
      </c>
      <c r="D1" t="s">
        <v>102</v>
      </c>
      <c r="E1" t="s">
        <v>103</v>
      </c>
      <c r="F1" t="s">
        <v>3</v>
      </c>
      <c r="G1" t="s">
        <v>54</v>
      </c>
      <c r="H1" s="13" t="s">
        <v>93</v>
      </c>
      <c r="I1" s="30" t="s">
        <v>5</v>
      </c>
      <c r="J1" s="30" t="s">
        <v>70</v>
      </c>
      <c r="K1" s="30" t="s">
        <v>113</v>
      </c>
      <c r="L1" s="30" t="s">
        <v>115</v>
      </c>
      <c r="M1" s="30" t="s">
        <v>72</v>
      </c>
    </row>
    <row r="2" spans="1:16" x14ac:dyDescent="0.25">
      <c r="A2" s="116" t="s">
        <v>162</v>
      </c>
      <c r="B2" s="9">
        <v>1</v>
      </c>
      <c r="C2" s="175">
        <v>45027</v>
      </c>
      <c r="D2" s="57">
        <f>Sales[[#This Row],[InvoiceDate]]-WEEKDAY(Sales[[#This Row],[InvoiceDate]])+1</f>
        <v>45025</v>
      </c>
      <c r="E2" s="23" t="str">
        <f ca="1">_xlfn.LET(_xlpm.P,N(((TODAY()-WEEKDAY(TODAY())+1-Sales[[#This Row],[PeriodStart]])/7)),IF(_xlpm.P=0,"CP","P"&amp;_xlpm.P))</f>
        <v>CP</v>
      </c>
      <c r="F2" s="116" t="s">
        <v>157</v>
      </c>
      <c r="G2" s="130" t="str">
        <f>IFERROR(_xlfn.XLOOKUP(Sales[[#This Row],[SKU]],Purchases[SKU],Purchases[Category]),"Bundle")</f>
        <v>Sticker</v>
      </c>
      <c r="H2" s="16" t="str" cm="1">
        <f t="array" ref="H2">_xlfn.XLOOKUP(Sales[[#This Row],[SKU]],Inventory[[#Data],[#Totals],[SKU]],Inventory[[#Data],[#Totals],[Season]])</f>
        <v>CR</v>
      </c>
      <c r="I2" s="8">
        <v>8</v>
      </c>
      <c r="J2" s="15">
        <f>IF(Sales[[#This Row],[Category]]="Bundle",_xlfn.XLOOKUP(Sales[[#This Row],[SKU]],Bundles[SKU],Bundles[CAD]),_xlfn.XLOOKUP(Sales[[#This Row],[SKU]],Purchases[SKU],Purchases[Retail]))*Sales[[#This Row],[Qty]]</f>
        <v>11.92</v>
      </c>
      <c r="K2" s="11">
        <v>11.92</v>
      </c>
      <c r="L2" s="1">
        <f>Sales[[#This Row],[Qty]]*_xlfn.XLOOKUP(Sales[[#This Row],[SKU]],Inventory[SKU],Inventory[Avg. Cost$])</f>
        <v>4</v>
      </c>
      <c r="M2" s="1">
        <f>Sales[[#This Row],[Amount]]-Sales[[#This Row],[Merch.Cost]]</f>
        <v>7.92</v>
      </c>
      <c r="N2" s="1"/>
      <c r="O2" s="1"/>
      <c r="P2" s="1"/>
    </row>
    <row r="3" spans="1:16" x14ac:dyDescent="0.25">
      <c r="N3" s="1"/>
      <c r="O3" s="1"/>
      <c r="P3" s="1"/>
    </row>
    <row r="4" spans="1:16" x14ac:dyDescent="0.25">
      <c r="N4" s="1"/>
      <c r="O4" s="1"/>
      <c r="P4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4D22-0B21-4D1E-87B0-2A74D47A00B9}">
  <sheetPr codeName="InvoicesSheet"/>
  <dimension ref="A1:V3"/>
  <sheetViews>
    <sheetView workbookViewId="0">
      <selection activeCell="A2" sqref="A2"/>
    </sheetView>
  </sheetViews>
  <sheetFormatPr defaultRowHeight="15" x14ac:dyDescent="0.25"/>
  <cols>
    <col min="1" max="1" width="16.140625" customWidth="1"/>
    <col min="2" max="2" width="13.7109375" customWidth="1"/>
    <col min="3" max="3" width="13.140625" customWidth="1"/>
    <col min="4" max="4" width="8.42578125" bestFit="1" customWidth="1"/>
    <col min="5" max="5" width="34.140625" customWidth="1"/>
    <col min="6" max="6" width="12.140625" bestFit="1" customWidth="1"/>
    <col min="7" max="7" width="12.42578125" bestFit="1" customWidth="1"/>
    <col min="8" max="12" width="12.42578125" customWidth="1"/>
    <col min="13" max="13" width="13.85546875" customWidth="1"/>
    <col min="14" max="14" width="14.42578125" customWidth="1"/>
    <col min="15" max="15" width="16.42578125" customWidth="1"/>
    <col min="16" max="16" width="12.5703125" customWidth="1"/>
    <col min="17" max="17" width="7.85546875" bestFit="1" customWidth="1"/>
    <col min="18" max="18" width="18.7109375" customWidth="1"/>
    <col min="19" max="19" width="14.42578125" customWidth="1"/>
    <col min="20" max="20" width="15.42578125" bestFit="1" customWidth="1"/>
  </cols>
  <sheetData>
    <row r="1" spans="1:22" x14ac:dyDescent="0.25">
      <c r="A1" t="s">
        <v>100</v>
      </c>
      <c r="B1" t="s">
        <v>109</v>
      </c>
      <c r="C1" t="s">
        <v>102</v>
      </c>
      <c r="D1" s="13" t="s">
        <v>103</v>
      </c>
      <c r="E1" t="s">
        <v>117</v>
      </c>
      <c r="F1" s="30" t="s">
        <v>113</v>
      </c>
      <c r="G1" s="30" t="s">
        <v>116</v>
      </c>
      <c r="H1" s="30" t="s">
        <v>114</v>
      </c>
      <c r="I1" s="30" t="s">
        <v>60</v>
      </c>
      <c r="J1" s="30" t="s">
        <v>112</v>
      </c>
      <c r="K1" s="30" t="s">
        <v>111</v>
      </c>
      <c r="L1" s="30" t="s">
        <v>6</v>
      </c>
      <c r="M1" s="30" t="s">
        <v>115</v>
      </c>
      <c r="N1" s="30" t="s">
        <v>153</v>
      </c>
      <c r="O1" s="30" t="s">
        <v>105</v>
      </c>
      <c r="P1" s="30" t="s">
        <v>72</v>
      </c>
      <c r="Q1" s="30" t="s">
        <v>71</v>
      </c>
      <c r="R1" s="170" t="s">
        <v>154</v>
      </c>
      <c r="S1" t="s">
        <v>110</v>
      </c>
      <c r="T1" t="s">
        <v>125</v>
      </c>
      <c r="V1" s="127" t="s">
        <v>118</v>
      </c>
    </row>
    <row r="2" spans="1:22" ht="15.75" thickBot="1" x14ac:dyDescent="0.3">
      <c r="A2" s="8" t="s">
        <v>162</v>
      </c>
      <c r="B2" s="175">
        <v>45027</v>
      </c>
      <c r="C2" s="12">
        <f>_xlfn.LET(_xlpm.PeriodStartDate,Invoices[[#This Row],[Date]]-WEEKDAY(Invoices[[#This Row],[Date]])+1, IF(_xlpm.PeriodStartDate&lt;0,"-",_xlpm.PeriodStartDate))</f>
        <v>45025</v>
      </c>
      <c r="D2" s="13" t="str">
        <f ca="1">IFERROR(_xlfn.LET(_xlpm.P,N(((TODAY()-WEEKDAY(TODAY())+1-Invoices[[#This Row],[PeriodStart]])/7)),IF(_xlpm.P=0,"CP","P"&amp;_xlpm.P)),"-")</f>
        <v>CP</v>
      </c>
      <c r="E2" s="176" t="s">
        <v>163</v>
      </c>
      <c r="F2" s="124">
        <f>SUMIFS(Sales[Amount],Sales[Invoice],Invoices[[#This Row],[Invoice]])</f>
        <v>11.92</v>
      </c>
      <c r="G2" s="123">
        <v>15</v>
      </c>
      <c r="H2" s="123">
        <v>16.27</v>
      </c>
      <c r="I2" s="124">
        <f>Invoices[[#This Row],[ShipCharge]]-Invoices[[#This Row],[ShipCost]]</f>
        <v>-1.2699999999999996</v>
      </c>
      <c r="J2" s="51">
        <f>2*0.09975*Invoices[[#This Row],[Amount]]</f>
        <v>2.3780399999999999</v>
      </c>
      <c r="K2" s="51">
        <f>0</f>
        <v>0</v>
      </c>
      <c r="L2" s="51">
        <f>Invoices[[#This Row],[Amount]]+Invoices[[#This Row],[ShipCharge]]</f>
        <v>26.92</v>
      </c>
      <c r="M2" s="51">
        <f>SUMIFS(Sales[Merch.Cost],Sales[Invoice],Invoices[[#This Row],[Invoice]])</f>
        <v>4</v>
      </c>
      <c r="N2" s="51">
        <f>Invoices[[#This Row],[Amount]]+Invoices[[#This Row],[ShipCharge]]-Invoices[[#This Row],[ShipCost]]</f>
        <v>10.650000000000002</v>
      </c>
      <c r="O2" s="51">
        <f>(Invoices[[#This Row],[Merch.Cost]]+Invoices[[#This Row],[ShipCost]])-Invoices[[#This Row],[ShipCharge]]</f>
        <v>5.27</v>
      </c>
      <c r="P2" s="51">
        <f>Invoices[[#This Row],[NetTotal]]-Invoices[[#This Row],[COGS]]</f>
        <v>5.3800000000000026</v>
      </c>
      <c r="Q2" s="3">
        <f>1-Invoices[[#This Row],[COGS]]/Invoices[[#This Row],[NetTotal]]</f>
        <v>0.50516431924882643</v>
      </c>
      <c r="R2" s="177" t="s">
        <v>165</v>
      </c>
      <c r="S2" s="98">
        <v>45028</v>
      </c>
      <c r="T2" s="5" t="s">
        <v>164</v>
      </c>
      <c r="V2" s="126" t="str">
        <f>"INV"&amp;TEXT(ROWS(Invoices[Invoice])+1,"000")</f>
        <v>INV002</v>
      </c>
    </row>
    <row r="3" spans="1:22" x14ac:dyDescent="0.25">
      <c r="A3" s="8" t="s">
        <v>6</v>
      </c>
      <c r="B3" s="5"/>
      <c r="C3" s="13"/>
      <c r="D3" s="13"/>
      <c r="E3" s="5"/>
      <c r="F3" s="124">
        <f>SUBTOTAL(109,Invoices[Amount])</f>
        <v>11.92</v>
      </c>
      <c r="G3" s="124">
        <f>SUBTOTAL(109,Invoices[ShipCharge])</f>
        <v>15</v>
      </c>
      <c r="H3" s="164">
        <f>SUBTOTAL(109,Invoices[ShipCost])</f>
        <v>16.27</v>
      </c>
      <c r="I3" s="164">
        <f>SUBTOTAL(109,Invoices[Shipping])</f>
        <v>-1.2699999999999996</v>
      </c>
      <c r="J3" s="156">
        <f>SUBTOTAL(109,Invoices[GST/QST*])</f>
        <v>2.3780399999999999</v>
      </c>
      <c r="K3" s="51">
        <f>SUBTOTAL(109,Invoices[Taxes])</f>
        <v>0</v>
      </c>
      <c r="L3" s="51">
        <f>SUBTOTAL(109,Invoices[Total])</f>
        <v>26.92</v>
      </c>
      <c r="M3" s="156">
        <f>SUBTOTAL(109,Invoices[Merch.Cost])</f>
        <v>4</v>
      </c>
      <c r="N3" s="156">
        <f>SUBTOTAL(109,Invoices[NetTotal])</f>
        <v>10.650000000000002</v>
      </c>
      <c r="O3" s="156">
        <f>SUBTOTAL(109,Invoices[COGS])</f>
        <v>5.27</v>
      </c>
      <c r="P3" s="51">
        <f>SUBTOTAL(109,Invoices[GM$])</f>
        <v>5.3800000000000026</v>
      </c>
      <c r="Q3" s="166">
        <f>IFERROR(1-Invoices[[#Totals],[COGS]]/Invoices[[#Totals],[NetTotal]],"-")</f>
        <v>0.50516431924882643</v>
      </c>
      <c r="R3" s="166"/>
      <c r="S3" s="5"/>
      <c r="T3" s="7">
        <f>SUBTOTAL(103,Invoices[ShipToCountry])</f>
        <v>1</v>
      </c>
    </row>
  </sheetData>
  <hyperlinks>
    <hyperlink ref="E2" r:id="rId1" xr:uid="{12433DA7-7837-4DC0-970F-7D577A93189F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Invoice</vt:lpstr>
      <vt:lpstr>Data</vt:lpstr>
      <vt:lpstr>Pricing</vt:lpstr>
      <vt:lpstr>Purchases</vt:lpstr>
      <vt:lpstr>Allocations</vt:lpstr>
      <vt:lpstr>Inventory</vt:lpstr>
      <vt:lpstr>Sales</vt:lpstr>
      <vt:lpstr>Invoices</vt:lpstr>
      <vt:lpstr>ExchangeRate</vt:lpstr>
      <vt:lpstr>NextInvoiceNumber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Mathieu Guindon</dc:creator>
  <cp:keywords/>
  <dc:description/>
  <cp:lastModifiedBy>Mathieu Guindon</cp:lastModifiedBy>
  <cp:revision/>
  <cp:lastPrinted>2023-04-11T12:25:17Z</cp:lastPrinted>
  <dcterms:created xsi:type="dcterms:W3CDTF">2023-03-14T19:18:29Z</dcterms:created>
  <dcterms:modified xsi:type="dcterms:W3CDTF">2023-04-12T02:57:53Z</dcterms:modified>
  <cp:category/>
  <cp:contentStatus/>
</cp:coreProperties>
</file>